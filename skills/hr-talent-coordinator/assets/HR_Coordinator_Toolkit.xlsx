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Reqs" sheetId="2" state="visible" r:id="rId2"/>
    <sheet xmlns:r="http://schemas.openxmlformats.org/officeDocument/2006/relationships" name="Candidates" sheetId="3" state="visible" r:id="rId3"/>
    <sheet xmlns:r="http://schemas.openxmlformats.org/officeDocument/2006/relationships" name="Scorecard" sheetId="4" state="visible" r:id="rId4"/>
    <sheet xmlns:r="http://schemas.openxmlformats.org/officeDocument/2006/relationships" name="Offers" sheetId="5" state="visible" r:id="rId5"/>
    <sheet xmlns:r="http://schemas.openxmlformats.org/officeDocument/2006/relationships" name="Onboarding" sheetId="6" state="visible" r:id="rId6"/>
    <sheet xmlns:r="http://schemas.openxmlformats.org/officeDocument/2006/relationships" name="Timekeeping" sheetId="7" state="visible" r:id="rId7"/>
    <sheet xmlns:r="http://schemas.openxmlformats.org/officeDocument/2006/relationships" name="ERLog" sheetId="8" state="visible" r:id="rId8"/>
    <sheet xmlns:r="http://schemas.openxmlformats.org/officeDocument/2006/relationships" name="KPIs" sheetId="9" state="visible" r:id="rId9"/>
    <sheet xmlns:r="http://schemas.openxmlformats.org/officeDocument/2006/relationships" name="Compliance" sheetId="10" state="visible" r:id="rId10"/>
    <sheet xmlns:r="http://schemas.openxmlformats.org/officeDocument/2006/relationships" name="Restricted" sheetId="11" state="visible" r:id="rId11"/>
  </sheets>
  <definedNames>
    <definedName name="_xlnm._FilterDatabase" localSheetId="1" hidden="1">'Reqs'!$A$4:$Q$4</definedName>
    <definedName name="_xlnm._FilterDatabase" localSheetId="2" hidden="1">'Candidates'!$A$4:$O$4</definedName>
    <definedName name="_xlnm._FilterDatabase" localSheetId="3" hidden="1">'Scorecard'!$A$4:$H$4</definedName>
    <definedName name="_xlnm._FilterDatabase" localSheetId="4" hidden="1">'Offers'!$A$4:$N$4</definedName>
    <definedName name="_xlnm._FilterDatabase" localSheetId="6" hidden="1">'Timekeeping'!$A$4:$M$4</definedName>
    <definedName name="_xlnm._FilterDatabase" localSheetId="7" hidden="1">'ERLog'!$A$4:$K$4</definedName>
    <definedName name="_xlnm._FilterDatabase" localSheetId="8" hidden="1">'KPIs'!$A$4:$K$4</definedName>
    <definedName name="_xlnm._FilterDatabase" localSheetId="9" hidden="1">'Compliance'!$A$4:$I$4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C00000"/>
      <sz val="9"/>
    </font>
    <font>
      <name val="Arial"/>
      <b val="1"/>
      <color rgb="00C00000"/>
      <sz val="16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pivotButton="0" quotePrefix="0" xfId="0"/>
    <xf numFmtId="165" fontId="10" fillId="0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5" fillId="0" borderId="0" applyAlignment="1" pivotButton="0" quotePrefix="0" xfId="0">
      <alignment wrapText="1"/>
    </xf>
    <xf numFmtId="0" fontId="8" fillId="0" borderId="0" pivotButton="0" quotePrefix="0" xfId="0"/>
    <xf numFmtId="0" fontId="10" fillId="0" borderId="1" applyAlignment="1" pivotButton="0" quotePrefix="0" xfId="0">
      <alignment vertical="top" wrapText="1"/>
    </xf>
    <xf numFmtId="0" fontId="10" fillId="3" borderId="1" pivotButton="0" quotePrefix="0" xfId="0"/>
    <xf numFmtId="165" fontId="10" fillId="3" borderId="1" pivotButton="0" quotePrefix="0" xfId="0"/>
    <xf numFmtId="0" fontId="5" fillId="0" borderId="1" applyAlignment="1" pivotButton="0" quotePrefix="0" xfId="0">
      <alignment vertical="top" wrapText="1"/>
    </xf>
    <xf numFmtId="165" fontId="9" fillId="0" borderId="1" pivotButton="0" quotePrefix="0" xfId="0"/>
    <xf numFmtId="165" fontId="0" fillId="0" borderId="0" pivotButton="0" quotePrefix="0" xfId="0"/>
    <xf numFmtId="0" fontId="11" fillId="0" borderId="0" pivotButton="0" quotePrefix="0" xfId="0"/>
    <xf numFmtId="0" fontId="2" fillId="0" borderId="1" applyAlignment="1" pivotButton="0" quotePrefix="0" xfId="0">
      <alignment vertical="top" wrapText="1"/>
    </xf>
    <xf numFmtId="0" fontId="12" fillId="0" borderId="0" pivotButton="0" quotePrefix="0" xfId="0"/>
    <xf numFmtId="0" fontId="13" fillId="4" borderId="0" applyAlignment="1" pivotButton="0" quotePrefix="0" xfId="0">
      <alignment vertical="center" wrapText="1"/>
    </xf>
    <xf numFmtId="164" fontId="8" fillId="0" borderId="1" applyAlignment="1" pivotButton="0" quotePrefix="0" xfId="0">
      <alignment vertical="top" wrapText="1"/>
    </xf>
    <xf numFmtId="16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HR TALENT COORDINATOR — OPERATING TOOLKIT</t>
        </is>
      </c>
    </row>
    <row r="2">
      <c r="A2" s="2" t="inlineStr">
        <is>
          <t>Companion workbook to the hr-talent-coordinator agent. One tab per lifecycle phase.</t>
        </is>
      </c>
    </row>
    <row r="4">
      <c r="A4" s="3" t="inlineStr">
        <is>
          <t>HOW TO USE</t>
        </is>
      </c>
      <c r="B4" t="inlineStr"/>
    </row>
    <row r="5">
      <c r="A5" s="4" t="inlineStr">
        <is>
          <t>Blue text</t>
        </is>
      </c>
      <c r="B5" s="5" t="inlineStr">
        <is>
          <t>Cells you type into. Every blue cell is an input.</t>
        </is>
      </c>
    </row>
    <row r="6">
      <c r="A6" s="4" t="inlineStr">
        <is>
          <t>Black text</t>
        </is>
      </c>
      <c r="B6" s="5" t="inlineStr">
        <is>
          <t>Formulas. Do not overwrite — they recalculate from your inputs.</t>
        </is>
      </c>
    </row>
    <row r="7">
      <c r="A7" s="4" t="inlineStr">
        <is>
          <t>Yellow fill</t>
        </is>
      </c>
      <c r="B7" s="5" t="inlineStr">
        <is>
          <t>Key control cells (e.g. the new hire's start date) that drive other tabs.</t>
        </is>
      </c>
    </row>
    <row r="8">
      <c r="A8" s="4" t="inlineStr">
        <is>
          <t>Grey italic row</t>
        </is>
      </c>
      <c r="B8" s="5" t="inlineStr">
        <is>
          <t>EXAMPLE row showing the expected format. Delete it before real use.</t>
        </is>
      </c>
    </row>
    <row r="9">
      <c r="A9" s="4" t="inlineStr"/>
      <c r="B9" s="5" t="inlineStr"/>
    </row>
    <row r="10">
      <c r="A10" s="3" t="inlineStr">
        <is>
          <t>TABS</t>
        </is>
      </c>
      <c r="B10" t="inlineStr"/>
    </row>
    <row r="11">
      <c r="A11" s="4" t="inlineStr">
        <is>
          <t>Reqs</t>
        </is>
      </c>
      <c r="B11" s="5" t="inlineStr">
        <is>
          <t>Phase 1 — open requisitions, aging, pipeline depth. The master list; Candidates keys to it.</t>
        </is>
      </c>
    </row>
    <row r="12">
      <c r="A12" s="4" t="inlineStr">
        <is>
          <t>Candidates</t>
        </is>
      </c>
      <c r="B12" s="5" t="inlineStr">
        <is>
          <t>Phase 2 — one row per candidate per req. Stage aging and next-action ownership.</t>
        </is>
      </c>
    </row>
    <row r="13">
      <c r="A13" s="4" t="inlineStr">
        <is>
          <t>Scorecard</t>
        </is>
      </c>
      <c r="B13" s="5" t="inlineStr">
        <is>
          <t>Phase 2 — structured interview rubric. One block per candidate, 1–4 per competency.</t>
        </is>
      </c>
    </row>
    <row r="14">
      <c r="A14" s="4" t="inlineStr">
        <is>
          <t>Offers</t>
        </is>
      </c>
      <c r="B14" s="5" t="inlineStr">
        <is>
          <t>Phase 3 — offers out, acceptance deadlines, contingency status.</t>
        </is>
      </c>
    </row>
    <row r="15">
      <c r="A15" s="4" t="inlineStr">
        <is>
          <t>Onboarding</t>
        </is>
      </c>
      <c r="B15" s="5" t="inlineStr">
        <is>
          <t>Phase 3 — checklist driven off the start date in cell B2. Change B2, all due dates move.</t>
        </is>
      </c>
    </row>
    <row r="16">
      <c r="A16" s="4" t="inlineStr">
        <is>
          <t>Timekeeping</t>
        </is>
      </c>
      <c r="B16" s="5" t="inlineStr">
        <is>
          <t>Phase 4 — daily exception log. Nothing rides to payroll close uncorrected.</t>
        </is>
      </c>
    </row>
    <row r="17">
      <c r="A17" s="4" t="inlineStr">
        <is>
          <t>ERLog</t>
        </is>
      </c>
      <c r="B17" s="5" t="inlineStr">
        <is>
          <t>Phase 4 — employee relations intake. Facts only, plus routing/escalation.</t>
        </is>
      </c>
    </row>
    <row r="18">
      <c r="A18" s="4" t="inlineStr">
        <is>
          <t>KPIs</t>
        </is>
      </c>
      <c r="B18" s="5" t="inlineStr">
        <is>
          <t>Phase 5 — recruiting scorecard. Every metric carries an owner and an action.</t>
        </is>
      </c>
    </row>
    <row r="19">
      <c r="A19" s="4" t="inlineStr">
        <is>
          <t>Compliance</t>
        </is>
      </c>
      <c r="B19" s="5" t="inlineStr">
        <is>
          <t>Phase 5 — filing and posting calendar with days-until countdown.</t>
        </is>
      </c>
    </row>
    <row r="20">
      <c r="A20" s="4" t="inlineStr">
        <is>
          <t>Restricted</t>
        </is>
      </c>
      <c r="B20" s="5" t="inlineStr">
        <is>
          <t>Compensation and background-check status. Segregated on purpose — do not merge into other tabs.</t>
        </is>
      </c>
    </row>
    <row r="21">
      <c r="A21" s="4" t="inlineStr"/>
      <c r="B21" s="5" t="inlineStr"/>
    </row>
    <row r="22">
      <c r="A22" s="3" t="inlineStr">
        <is>
          <t>DATA HANDLING RULES</t>
        </is>
      </c>
      <c r="B22" t="inlineStr"/>
    </row>
    <row r="23">
      <c r="A23" s="4" t="inlineStr">
        <is>
          <t>Segregation</t>
        </is>
      </c>
      <c r="B23" s="5" t="inlineStr">
        <is>
          <t>I-9s, medical/ADA/leave records, and background results live in separate files from the personnel file. Never merge them.</t>
        </is>
      </c>
    </row>
    <row r="24">
      <c r="A24" s="4" t="inlineStr">
        <is>
          <t>Restricted fields</t>
        </is>
      </c>
      <c r="B24" s="5" t="inlineStr">
        <is>
          <t>Salary, offer amounts, background status, performance ratings and ER content stay off shared tabs.</t>
        </is>
      </c>
    </row>
    <row r="25">
      <c r="A25" s="4" t="inlineStr">
        <is>
          <t>Screening criteria</t>
        </is>
      </c>
      <c r="B25" s="5" t="inlineStr">
        <is>
          <t>Only documented, job-related requirements. No age, DOB, graduation year, photo, gender, family status, national origin, religion, disability, or (pre-conditional-offer) criminal history.</t>
        </is>
      </c>
    </row>
    <row r="26">
      <c r="A26" s="4" t="inlineStr">
        <is>
          <t>Legal thresholds</t>
        </is>
      </c>
      <c r="B26" s="5" t="inlineStr">
        <is>
          <t>Deadlines, form versions and filing dates change. Verify current requirements before relying on any date in the Compliance tab.</t>
        </is>
      </c>
    </row>
    <row r="27">
      <c r="A27" s="4" t="inlineStr">
        <is>
          <t>Escalation</t>
        </is>
      </c>
      <c r="B27" s="5" t="inlineStr">
        <is>
          <t>Harassment, discrimination, retaliation, wage-and-hour, accommodation/leave, terminations and adverse action go to HRBP / Employment Counsel — do not resolve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16" customWidth="1" min="4" max="4"/>
    <col width="9" customWidth="1" min="5" max="5"/>
    <col width="12" customWidth="1" min="6" max="6"/>
    <col width="20" customWidth="1" min="7" max="7"/>
    <col width="13" customWidth="1" min="8" max="8"/>
    <col width="16" customWidth="1" min="9" max="9"/>
    <col width="12" customWidth="1" min="10" max="10"/>
    <col width="12" customWidth="1" min="11" max="11"/>
    <col width="14" customWidth="1" min="12" max="12"/>
    <col width="10" customWidth="1" min="13" max="13"/>
    <col width="13" customWidth="1" min="14" max="14"/>
    <col width="11" customWidth="1" min="15" max="15"/>
    <col width="11" customWidth="1" min="16" max="16"/>
    <col width="34" customWidth="1" min="17" max="17"/>
  </cols>
  <sheetData>
    <row r="1">
      <c r="A1" s="6" t="inlineStr">
        <is>
          <t>PHASE 1 — REQUISITION PIPELINE</t>
        </is>
      </c>
    </row>
    <row r="2">
      <c r="A2" s="2" t="inlineStr">
        <is>
          <t>Blue = input. Days Open, Aging Flag, In Pipeline and Offers Out are formulas.</t>
        </is>
      </c>
    </row>
    <row r="4" ht="30" customHeight="1">
      <c r="A4" s="7" t="inlineStr">
        <is>
          <t>Req ID</t>
        </is>
      </c>
      <c r="B4" s="7" t="inlineStr">
        <is>
          <t>Role</t>
        </is>
      </c>
      <c r="C4" s="7" t="inlineStr">
        <is>
          <t>Dept</t>
        </is>
      </c>
      <c r="D4" s="7" t="inlineStr">
        <is>
          <t>Location</t>
        </is>
      </c>
      <c r="E4" s="7" t="inlineStr">
        <is>
          <t>Type</t>
        </is>
      </c>
      <c r="F4" s="7" t="inlineStr">
        <is>
          <t>FLSA</t>
        </is>
      </c>
      <c r="G4" s="7" t="inlineStr">
        <is>
          <t>Hiring Manager</t>
        </is>
      </c>
      <c r="H4" s="7" t="inlineStr">
        <is>
          <t>Reason</t>
        </is>
      </c>
      <c r="I4" s="7" t="inlineStr">
        <is>
          <t>Approved Range</t>
        </is>
      </c>
      <c r="J4" s="7" t="inlineStr">
        <is>
          <t>Posted Date</t>
        </is>
      </c>
      <c r="K4" s="7" t="inlineStr">
        <is>
          <t>Target Start</t>
        </is>
      </c>
      <c r="L4" s="7" t="inlineStr">
        <is>
          <t>Status</t>
        </is>
      </c>
      <c r="M4" s="7" t="inlineStr">
        <is>
          <t>Days Open</t>
        </is>
      </c>
      <c r="N4" s="7" t="inlineStr">
        <is>
          <t>Aging Flag</t>
        </is>
      </c>
      <c r="O4" s="7" t="inlineStr">
        <is>
          <t>In Pipeline</t>
        </is>
      </c>
      <c r="P4" s="7" t="inlineStr">
        <is>
          <t>Offers Out</t>
        </is>
      </c>
      <c r="Q4" s="7" t="inlineStr">
        <is>
          <t>Notes</t>
        </is>
      </c>
    </row>
    <row r="5">
      <c r="A5" s="8" t="inlineStr">
        <is>
          <t>REQ-1041</t>
        </is>
      </c>
      <c r="B5" s="8" t="inlineStr">
        <is>
          <t>Warehouse Supervisor</t>
        </is>
      </c>
      <c r="C5" s="8" t="inlineStr">
        <is>
          <t>Distribution</t>
        </is>
      </c>
      <c r="D5" s="8" t="inlineStr">
        <is>
          <t>Memphis DC</t>
        </is>
      </c>
      <c r="E5" s="8" t="inlineStr">
        <is>
          <t>FT</t>
        </is>
      </c>
      <c r="F5" s="8" t="inlineStr">
        <is>
          <t>Non-exempt</t>
        </is>
      </c>
      <c r="G5" s="8" t="inlineStr">
        <is>
          <t>A. Reyes</t>
        </is>
      </c>
      <c r="H5" s="8" t="inlineStr">
        <is>
          <t>Backfill</t>
        </is>
      </c>
      <c r="I5" s="8" t="inlineStr">
        <is>
          <t>$58k–$66k</t>
        </is>
      </c>
      <c r="J5" s="9" t="n">
        <v>46237</v>
      </c>
      <c r="K5" s="9" t="n">
        <v>46279</v>
      </c>
      <c r="L5" s="8" t="inlineStr">
        <is>
          <t>Interviewing</t>
        </is>
      </c>
      <c r="M5" s="10">
        <f>IF($J5="","",TODAY()-$J5)</f>
        <v/>
      </c>
      <c r="N5" s="10">
        <f>IF($J5="","",IF($M5&gt;45,"RED &gt;45d",IF($M5&gt;30,"AMBER &gt;30d","OK")))</f>
        <v/>
      </c>
      <c r="O5" s="10">
        <f>IF($A5="","",COUNTIFS(Candidates!$B$5:$B$64,$A5,Candidates!$M$5:$M$64,""))</f>
        <v/>
      </c>
      <c r="P5" s="10">
        <f>IF($A5="","",COUNTIFS(Offers!$B$5:$B$44,$A5))</f>
        <v/>
      </c>
      <c r="Q5" s="8" t="inlineStr">
        <is>
          <t>EXAMPLE ROW — delete before use</t>
        </is>
      </c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2" t="n"/>
      <c r="K6" s="12" t="n"/>
      <c r="L6" s="11" t="n"/>
      <c r="M6" s="13">
        <f>IF($J6="","",TODAY()-$J6)</f>
        <v/>
      </c>
      <c r="N6" s="13">
        <f>IF($J6="","",IF($M6&gt;45,"RED &gt;45d",IF($M6&gt;30,"AMBER &gt;30d","OK")))</f>
        <v/>
      </c>
      <c r="O6" s="13">
        <f>IF($A6="","",COUNTIFS(Candidates!$B$5:$B$64,$A6,Candidates!$M$5:$M$64,""))</f>
        <v/>
      </c>
      <c r="P6" s="13">
        <f>IF($A6="","",COUNTIFS(Offers!$B$5:$B$44,$A6))</f>
        <v/>
      </c>
      <c r="Q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1" t="n"/>
      <c r="M7" s="13">
        <f>IF($J7="","",TODAY()-$J7)</f>
        <v/>
      </c>
      <c r="N7" s="13">
        <f>IF($J7="","",IF($M7&gt;45,"RED &gt;45d",IF($M7&gt;30,"AMBER &gt;30d","OK")))</f>
        <v/>
      </c>
      <c r="O7" s="13">
        <f>IF($A7="","",COUNTIFS(Candidates!$B$5:$B$64,$A7,Candidates!$M$5:$M$64,""))</f>
        <v/>
      </c>
      <c r="P7" s="13">
        <f>IF($A7="","",COUNTIFS(Offers!$B$5:$B$44,$A7))</f>
        <v/>
      </c>
      <c r="Q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1" t="n"/>
      <c r="M8" s="13">
        <f>IF($J8="","",TODAY()-$J8)</f>
        <v/>
      </c>
      <c r="N8" s="13">
        <f>IF($J8="","",IF($M8&gt;45,"RED &gt;45d",IF($M8&gt;30,"AMBER &gt;30d","OK")))</f>
        <v/>
      </c>
      <c r="O8" s="13">
        <f>IF($A8="","",COUNTIFS(Candidates!$B$5:$B$64,$A8,Candidates!$M$5:$M$64,""))</f>
        <v/>
      </c>
      <c r="P8" s="13">
        <f>IF($A8="","",COUNTIFS(Offers!$B$5:$B$44,$A8))</f>
        <v/>
      </c>
      <c r="Q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1" t="n"/>
      <c r="M9" s="13">
        <f>IF($J9="","",TODAY()-$J9)</f>
        <v/>
      </c>
      <c r="N9" s="13">
        <f>IF($J9="","",IF($M9&gt;45,"RED &gt;45d",IF($M9&gt;30,"AMBER &gt;30d","OK")))</f>
        <v/>
      </c>
      <c r="O9" s="13">
        <f>IF($A9="","",COUNTIFS(Candidates!$B$5:$B$64,$A9,Candidates!$M$5:$M$64,""))</f>
        <v/>
      </c>
      <c r="P9" s="13">
        <f>IF($A9="","",COUNTIFS(Offers!$B$5:$B$44,$A9))</f>
        <v/>
      </c>
      <c r="Q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2" t="n"/>
      <c r="K10" s="12" t="n"/>
      <c r="L10" s="11" t="n"/>
      <c r="M10" s="13">
        <f>IF($J10="","",TODAY()-$J10)</f>
        <v/>
      </c>
      <c r="N10" s="13">
        <f>IF($J10="","",IF($M10&gt;45,"RED &gt;45d",IF($M10&gt;30,"AMBER &gt;30d","OK")))</f>
        <v/>
      </c>
      <c r="O10" s="13">
        <f>IF($A10="","",COUNTIFS(Candidates!$B$5:$B$64,$A10,Candidates!$M$5:$M$64,""))</f>
        <v/>
      </c>
      <c r="P10" s="13">
        <f>IF($A10="","",COUNTIFS(Offers!$B$5:$B$44,$A10))</f>
        <v/>
      </c>
      <c r="Q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1" t="n"/>
      <c r="M11" s="13">
        <f>IF($J11="","",TODAY()-$J11)</f>
        <v/>
      </c>
      <c r="N11" s="13">
        <f>IF($J11="","",IF($M11&gt;45,"RED &gt;45d",IF($M11&gt;30,"AMBER &gt;30d","OK")))</f>
        <v/>
      </c>
      <c r="O11" s="13">
        <f>IF($A11="","",COUNTIFS(Candidates!$B$5:$B$64,$A11,Candidates!$M$5:$M$64,""))</f>
        <v/>
      </c>
      <c r="P11" s="13">
        <f>IF($A11="","",COUNTIFS(Offers!$B$5:$B$44,$A11))</f>
        <v/>
      </c>
      <c r="Q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1" t="n"/>
      <c r="M12" s="13">
        <f>IF($J12="","",TODAY()-$J12)</f>
        <v/>
      </c>
      <c r="N12" s="13">
        <f>IF($J12="","",IF($M12&gt;45,"RED &gt;45d",IF($M12&gt;30,"AMBER &gt;30d","OK")))</f>
        <v/>
      </c>
      <c r="O12" s="13">
        <f>IF($A12="","",COUNTIFS(Candidates!$B$5:$B$64,$A12,Candidates!$M$5:$M$64,""))</f>
        <v/>
      </c>
      <c r="P12" s="13">
        <f>IF($A12="","",COUNTIFS(Offers!$B$5:$B$44,$A12))</f>
        <v/>
      </c>
      <c r="Q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1" t="n"/>
      <c r="M13" s="13">
        <f>IF($J13="","",TODAY()-$J13)</f>
        <v/>
      </c>
      <c r="N13" s="13">
        <f>IF($J13="","",IF($M13&gt;45,"RED &gt;45d",IF($M13&gt;30,"AMBER &gt;30d","OK")))</f>
        <v/>
      </c>
      <c r="O13" s="13">
        <f>IF($A13="","",COUNTIFS(Candidates!$B$5:$B$64,$A13,Candidates!$M$5:$M$64,""))</f>
        <v/>
      </c>
      <c r="P13" s="13">
        <f>IF($A13="","",COUNTIFS(Offers!$B$5:$B$44,$A13))</f>
        <v/>
      </c>
      <c r="Q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2" t="n"/>
      <c r="K14" s="12" t="n"/>
      <c r="L14" s="11" t="n"/>
      <c r="M14" s="13">
        <f>IF($J14="","",TODAY()-$J14)</f>
        <v/>
      </c>
      <c r="N14" s="13">
        <f>IF($J14="","",IF($M14&gt;45,"RED &gt;45d",IF($M14&gt;30,"AMBER &gt;30d","OK")))</f>
        <v/>
      </c>
      <c r="O14" s="13">
        <f>IF($A14="","",COUNTIFS(Candidates!$B$5:$B$64,$A14,Candidates!$M$5:$M$64,""))</f>
        <v/>
      </c>
      <c r="P14" s="13">
        <f>IF($A14="","",COUNTIFS(Offers!$B$5:$B$44,$A14))</f>
        <v/>
      </c>
      <c r="Q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1" t="n"/>
      <c r="M15" s="13">
        <f>IF($J15="","",TODAY()-$J15)</f>
        <v/>
      </c>
      <c r="N15" s="13">
        <f>IF($J15="","",IF($M15&gt;45,"RED &gt;45d",IF($M15&gt;30,"AMBER &gt;30d","OK")))</f>
        <v/>
      </c>
      <c r="O15" s="13">
        <f>IF($A15="","",COUNTIFS(Candidates!$B$5:$B$64,$A15,Candidates!$M$5:$M$64,""))</f>
        <v/>
      </c>
      <c r="P15" s="13">
        <f>IF($A15="","",COUNTIFS(Offers!$B$5:$B$44,$A15))</f>
        <v/>
      </c>
      <c r="Q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1" t="n"/>
      <c r="M16" s="13">
        <f>IF($J16="","",TODAY()-$J16)</f>
        <v/>
      </c>
      <c r="N16" s="13">
        <f>IF($J16="","",IF($M16&gt;45,"RED &gt;45d",IF($M16&gt;30,"AMBER &gt;30d","OK")))</f>
        <v/>
      </c>
      <c r="O16" s="13">
        <f>IF($A16="","",COUNTIFS(Candidates!$B$5:$B$64,$A16,Candidates!$M$5:$M$64,""))</f>
        <v/>
      </c>
      <c r="P16" s="13">
        <f>IF($A16="","",COUNTIFS(Offers!$B$5:$B$44,$A16))</f>
        <v/>
      </c>
      <c r="Q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1" t="n"/>
      <c r="M17" s="13">
        <f>IF($J17="","",TODAY()-$J17)</f>
        <v/>
      </c>
      <c r="N17" s="13">
        <f>IF($J17="","",IF($M17&gt;45,"RED &gt;45d",IF($M17&gt;30,"AMBER &gt;30d","OK")))</f>
        <v/>
      </c>
      <c r="O17" s="13">
        <f>IF($A17="","",COUNTIFS(Candidates!$B$5:$B$64,$A17,Candidates!$M$5:$M$64,""))</f>
        <v/>
      </c>
      <c r="P17" s="13">
        <f>IF($A17="","",COUNTIFS(Offers!$B$5:$B$44,$A17))</f>
        <v/>
      </c>
      <c r="Q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2" t="n"/>
      <c r="K18" s="12" t="n"/>
      <c r="L18" s="11" t="n"/>
      <c r="M18" s="13">
        <f>IF($J18="","",TODAY()-$J18)</f>
        <v/>
      </c>
      <c r="N18" s="13">
        <f>IF($J18="","",IF($M18&gt;45,"RED &gt;45d",IF($M18&gt;30,"AMBER &gt;30d","OK")))</f>
        <v/>
      </c>
      <c r="O18" s="13">
        <f>IF($A18="","",COUNTIFS(Candidates!$B$5:$B$64,$A18,Candidates!$M$5:$M$64,""))</f>
        <v/>
      </c>
      <c r="P18" s="13">
        <f>IF($A18="","",COUNTIFS(Offers!$B$5:$B$44,$A18))</f>
        <v/>
      </c>
      <c r="Q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1" t="n"/>
      <c r="M19" s="13">
        <f>IF($J19="","",TODAY()-$J19)</f>
        <v/>
      </c>
      <c r="N19" s="13">
        <f>IF($J19="","",IF($M19&gt;45,"RED &gt;45d",IF($M19&gt;30,"AMBER &gt;30d","OK")))</f>
        <v/>
      </c>
      <c r="O19" s="13">
        <f>IF($A19="","",COUNTIFS(Candidates!$B$5:$B$64,$A19,Candidates!$M$5:$M$64,""))</f>
        <v/>
      </c>
      <c r="P19" s="13">
        <f>IF($A19="","",COUNTIFS(Offers!$B$5:$B$44,$A19))</f>
        <v/>
      </c>
      <c r="Q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1" t="n"/>
      <c r="M20" s="13">
        <f>IF($J20="","",TODAY()-$J20)</f>
        <v/>
      </c>
      <c r="N20" s="13">
        <f>IF($J20="","",IF($M20&gt;45,"RED &gt;45d",IF($M20&gt;30,"AMBER &gt;30d","OK")))</f>
        <v/>
      </c>
      <c r="O20" s="13">
        <f>IF($A20="","",COUNTIFS(Candidates!$B$5:$B$64,$A20,Candidates!$M$5:$M$64,""))</f>
        <v/>
      </c>
      <c r="P20" s="13">
        <f>IF($A20="","",COUNTIFS(Offers!$B$5:$B$44,$A20))</f>
        <v/>
      </c>
      <c r="Q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1" t="n"/>
      <c r="M21" s="13">
        <f>IF($J21="","",TODAY()-$J21)</f>
        <v/>
      </c>
      <c r="N21" s="13">
        <f>IF($J21="","",IF($M21&gt;45,"RED &gt;45d",IF($M21&gt;30,"AMBER &gt;30d","OK")))</f>
        <v/>
      </c>
      <c r="O21" s="13">
        <f>IF($A21="","",COUNTIFS(Candidates!$B$5:$B$64,$A21,Candidates!$M$5:$M$64,""))</f>
        <v/>
      </c>
      <c r="P21" s="13">
        <f>IF($A21="","",COUNTIFS(Offers!$B$5:$B$44,$A21))</f>
        <v/>
      </c>
      <c r="Q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2" t="n"/>
      <c r="K22" s="12" t="n"/>
      <c r="L22" s="11" t="n"/>
      <c r="M22" s="13">
        <f>IF($J22="","",TODAY()-$J22)</f>
        <v/>
      </c>
      <c r="N22" s="13">
        <f>IF($J22="","",IF($M22&gt;45,"RED &gt;45d",IF($M22&gt;30,"AMBER &gt;30d","OK")))</f>
        <v/>
      </c>
      <c r="O22" s="13">
        <f>IF($A22="","",COUNTIFS(Candidates!$B$5:$B$64,$A22,Candidates!$M$5:$M$64,""))</f>
        <v/>
      </c>
      <c r="P22" s="13">
        <f>IF($A22="","",COUNTIFS(Offers!$B$5:$B$44,$A22))</f>
        <v/>
      </c>
      <c r="Q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1" t="n"/>
      <c r="M23" s="13">
        <f>IF($J23="","",TODAY()-$J23)</f>
        <v/>
      </c>
      <c r="N23" s="13">
        <f>IF($J23="","",IF($M23&gt;45,"RED &gt;45d",IF($M23&gt;30,"AMBER &gt;30d","OK")))</f>
        <v/>
      </c>
      <c r="O23" s="13">
        <f>IF($A23="","",COUNTIFS(Candidates!$B$5:$B$64,$A23,Candidates!$M$5:$M$64,""))</f>
        <v/>
      </c>
      <c r="P23" s="13">
        <f>IF($A23="","",COUNTIFS(Offers!$B$5:$B$44,$A23))</f>
        <v/>
      </c>
      <c r="Q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1" t="n"/>
      <c r="M24" s="13">
        <f>IF($J24="","",TODAY()-$J24)</f>
        <v/>
      </c>
      <c r="N24" s="13">
        <f>IF($J24="","",IF($M24&gt;45,"RED &gt;45d",IF($M24&gt;30,"AMBER &gt;30d","OK")))</f>
        <v/>
      </c>
      <c r="O24" s="13">
        <f>IF($A24="","",COUNTIFS(Candidates!$B$5:$B$64,$A24,Candidates!$M$5:$M$64,""))</f>
        <v/>
      </c>
      <c r="P24" s="13">
        <f>IF($A24="","",COUNTIFS(Offers!$B$5:$B$44,$A24))</f>
        <v/>
      </c>
      <c r="Q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1" t="n"/>
      <c r="M25" s="13">
        <f>IF($J25="","",TODAY()-$J25)</f>
        <v/>
      </c>
      <c r="N25" s="13">
        <f>IF($J25="","",IF($M25&gt;45,"RED &gt;45d",IF($M25&gt;30,"AMBER &gt;30d","OK")))</f>
        <v/>
      </c>
      <c r="O25" s="13">
        <f>IF($A25="","",COUNTIFS(Candidates!$B$5:$B$64,$A25,Candidates!$M$5:$M$64,""))</f>
        <v/>
      </c>
      <c r="P25" s="13">
        <f>IF($A25="","",COUNTIFS(Offers!$B$5:$B$44,$A25))</f>
        <v/>
      </c>
      <c r="Q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2" t="n"/>
      <c r="K26" s="12" t="n"/>
      <c r="L26" s="11" t="n"/>
      <c r="M26" s="13">
        <f>IF($J26="","",TODAY()-$J26)</f>
        <v/>
      </c>
      <c r="N26" s="13">
        <f>IF($J26="","",IF($M26&gt;45,"RED &gt;45d",IF($M26&gt;30,"AMBER &gt;30d","OK")))</f>
        <v/>
      </c>
      <c r="O26" s="13">
        <f>IF($A26="","",COUNTIFS(Candidates!$B$5:$B$64,$A26,Candidates!$M$5:$M$64,""))</f>
        <v/>
      </c>
      <c r="P26" s="13">
        <f>IF($A26="","",COUNTIFS(Offers!$B$5:$B$44,$A26))</f>
        <v/>
      </c>
      <c r="Q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1" t="n"/>
      <c r="M27" s="13">
        <f>IF($J27="","",TODAY()-$J27)</f>
        <v/>
      </c>
      <c r="N27" s="13">
        <f>IF($J27="","",IF($M27&gt;45,"RED &gt;45d",IF($M27&gt;30,"AMBER &gt;30d","OK")))</f>
        <v/>
      </c>
      <c r="O27" s="13">
        <f>IF($A27="","",COUNTIFS(Candidates!$B$5:$B$64,$A27,Candidates!$M$5:$M$64,""))</f>
        <v/>
      </c>
      <c r="P27" s="13">
        <f>IF($A27="","",COUNTIFS(Offers!$B$5:$B$44,$A27))</f>
        <v/>
      </c>
      <c r="Q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1" t="n"/>
      <c r="M28" s="13">
        <f>IF($J28="","",TODAY()-$J28)</f>
        <v/>
      </c>
      <c r="N28" s="13">
        <f>IF($J28="","",IF($M28&gt;45,"RED &gt;45d",IF($M28&gt;30,"AMBER &gt;30d","OK")))</f>
        <v/>
      </c>
      <c r="O28" s="13">
        <f>IF($A28="","",COUNTIFS(Candidates!$B$5:$B$64,$A28,Candidates!$M$5:$M$64,""))</f>
        <v/>
      </c>
      <c r="P28" s="13">
        <f>IF($A28="","",COUNTIFS(Offers!$B$5:$B$44,$A28))</f>
        <v/>
      </c>
      <c r="Q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1" t="n"/>
      <c r="M29" s="13">
        <f>IF($J29="","",TODAY()-$J29)</f>
        <v/>
      </c>
      <c r="N29" s="13">
        <f>IF($J29="","",IF($M29&gt;45,"RED &gt;45d",IF($M29&gt;30,"AMBER &gt;30d","OK")))</f>
        <v/>
      </c>
      <c r="O29" s="13">
        <f>IF($A29="","",COUNTIFS(Candidates!$B$5:$B$64,$A29,Candidates!$M$5:$M$64,""))</f>
        <v/>
      </c>
      <c r="P29" s="13">
        <f>IF($A29="","",COUNTIFS(Offers!$B$5:$B$44,$A29))</f>
        <v/>
      </c>
      <c r="Q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2" t="n"/>
      <c r="K30" s="12" t="n"/>
      <c r="L30" s="11" t="n"/>
      <c r="M30" s="13">
        <f>IF($J30="","",TODAY()-$J30)</f>
        <v/>
      </c>
      <c r="N30" s="13">
        <f>IF($J30="","",IF($M30&gt;45,"RED &gt;45d",IF($M30&gt;30,"AMBER &gt;30d","OK")))</f>
        <v/>
      </c>
      <c r="O30" s="13">
        <f>IF($A30="","",COUNTIFS(Candidates!$B$5:$B$64,$A30,Candidates!$M$5:$M$64,""))</f>
        <v/>
      </c>
      <c r="P30" s="13">
        <f>IF($A30="","",COUNTIFS(Offers!$B$5:$B$44,$A30))</f>
        <v/>
      </c>
      <c r="Q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1" t="n"/>
      <c r="M31" s="13">
        <f>IF($J31="","",TODAY()-$J31)</f>
        <v/>
      </c>
      <c r="N31" s="13">
        <f>IF($J31="","",IF($M31&gt;45,"RED &gt;45d",IF($M31&gt;30,"AMBER &gt;30d","OK")))</f>
        <v/>
      </c>
      <c r="O31" s="13">
        <f>IF($A31="","",COUNTIFS(Candidates!$B$5:$B$64,$A31,Candidates!$M$5:$M$64,""))</f>
        <v/>
      </c>
      <c r="P31" s="13">
        <f>IF($A31="","",COUNTIFS(Offers!$B$5:$B$44,$A31))</f>
        <v/>
      </c>
      <c r="Q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1" t="n"/>
      <c r="M32" s="13">
        <f>IF($J32="","",TODAY()-$J32)</f>
        <v/>
      </c>
      <c r="N32" s="13">
        <f>IF($J32="","",IF($M32&gt;45,"RED &gt;45d",IF($M32&gt;30,"AMBER &gt;30d","OK")))</f>
        <v/>
      </c>
      <c r="O32" s="13">
        <f>IF($A32="","",COUNTIFS(Candidates!$B$5:$B$64,$A32,Candidates!$M$5:$M$64,""))</f>
        <v/>
      </c>
      <c r="P32" s="13">
        <f>IF($A32="","",COUNTIFS(Offers!$B$5:$B$44,$A32))</f>
        <v/>
      </c>
      <c r="Q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1" t="n"/>
      <c r="M33" s="13">
        <f>IF($J33="","",TODAY()-$J33)</f>
        <v/>
      </c>
      <c r="N33" s="13">
        <f>IF($J33="","",IF($M33&gt;45,"RED &gt;45d",IF($M33&gt;30,"AMBER &gt;30d","OK")))</f>
        <v/>
      </c>
      <c r="O33" s="13">
        <f>IF($A33="","",COUNTIFS(Candidates!$B$5:$B$64,$A33,Candidates!$M$5:$M$64,""))</f>
        <v/>
      </c>
      <c r="P33" s="13">
        <f>IF($A33="","",COUNTIFS(Offers!$B$5:$B$44,$A33))</f>
        <v/>
      </c>
      <c r="Q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2" t="n"/>
      <c r="K34" s="12" t="n"/>
      <c r="L34" s="11" t="n"/>
      <c r="M34" s="13">
        <f>IF($J34="","",TODAY()-$J34)</f>
        <v/>
      </c>
      <c r="N34" s="13">
        <f>IF($J34="","",IF($M34&gt;45,"RED &gt;45d",IF($M34&gt;30,"AMBER &gt;30d","OK")))</f>
        <v/>
      </c>
      <c r="O34" s="13">
        <f>IF($A34="","",COUNTIFS(Candidates!$B$5:$B$64,$A34,Candidates!$M$5:$M$64,""))</f>
        <v/>
      </c>
      <c r="P34" s="13">
        <f>IF($A34="","",COUNTIFS(Offers!$B$5:$B$44,$A34))</f>
        <v/>
      </c>
      <c r="Q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1" t="n"/>
      <c r="M35" s="13">
        <f>IF($J35="","",TODAY()-$J35)</f>
        <v/>
      </c>
      <c r="N35" s="13">
        <f>IF($J35="","",IF($M35&gt;45,"RED &gt;45d",IF($M35&gt;30,"AMBER &gt;30d","OK")))</f>
        <v/>
      </c>
      <c r="O35" s="13">
        <f>IF($A35="","",COUNTIFS(Candidates!$B$5:$B$64,$A35,Candidates!$M$5:$M$64,""))</f>
        <v/>
      </c>
      <c r="P35" s="13">
        <f>IF($A35="","",COUNTIFS(Offers!$B$5:$B$44,$A35))</f>
        <v/>
      </c>
      <c r="Q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  <c r="K36" s="12" t="n"/>
      <c r="L36" s="11" t="n"/>
      <c r="M36" s="13">
        <f>IF($J36="","",TODAY()-$J36)</f>
        <v/>
      </c>
      <c r="N36" s="13">
        <f>IF($J36="","",IF($M36&gt;45,"RED &gt;45d",IF($M36&gt;30,"AMBER &gt;30d","OK")))</f>
        <v/>
      </c>
      <c r="O36" s="13">
        <f>IF($A36="","",COUNTIFS(Candidates!$B$5:$B$64,$A36,Candidates!$M$5:$M$64,""))</f>
        <v/>
      </c>
      <c r="P36" s="13">
        <f>IF($A36="","",COUNTIFS(Offers!$B$5:$B$44,$A36))</f>
        <v/>
      </c>
      <c r="Q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2" t="n"/>
      <c r="K37" s="12" t="n"/>
      <c r="L37" s="11" t="n"/>
      <c r="M37" s="13">
        <f>IF($J37="","",TODAY()-$J37)</f>
        <v/>
      </c>
      <c r="N37" s="13">
        <f>IF($J37="","",IF($M37&gt;45,"RED &gt;45d",IF($M37&gt;30,"AMBER &gt;30d","OK")))</f>
        <v/>
      </c>
      <c r="O37" s="13">
        <f>IF($A37="","",COUNTIFS(Candidates!$B$5:$B$64,$A37,Candidates!$M$5:$M$64,""))</f>
        <v/>
      </c>
      <c r="P37" s="13">
        <f>IF($A37="","",COUNTIFS(Offers!$B$5:$B$44,$A37))</f>
        <v/>
      </c>
      <c r="Q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2" t="n"/>
      <c r="K38" s="12" t="n"/>
      <c r="L38" s="11" t="n"/>
      <c r="M38" s="13">
        <f>IF($J38="","",TODAY()-$J38)</f>
        <v/>
      </c>
      <c r="N38" s="13">
        <f>IF($J38="","",IF($M38&gt;45,"RED &gt;45d",IF($M38&gt;30,"AMBER &gt;30d","OK")))</f>
        <v/>
      </c>
      <c r="O38" s="13">
        <f>IF($A38="","",COUNTIFS(Candidates!$B$5:$B$64,$A38,Candidates!$M$5:$M$64,""))</f>
        <v/>
      </c>
      <c r="P38" s="13">
        <f>IF($A38="","",COUNTIFS(Offers!$B$5:$B$44,$A38))</f>
        <v/>
      </c>
      <c r="Q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2" t="n"/>
      <c r="K39" s="12" t="n"/>
      <c r="L39" s="11" t="n"/>
      <c r="M39" s="13">
        <f>IF($J39="","",TODAY()-$J39)</f>
        <v/>
      </c>
      <c r="N39" s="13">
        <f>IF($J39="","",IF($M39&gt;45,"RED &gt;45d",IF($M39&gt;30,"AMBER &gt;30d","OK")))</f>
        <v/>
      </c>
      <c r="O39" s="13">
        <f>IF($A39="","",COUNTIFS(Candidates!$B$5:$B$64,$A39,Candidates!$M$5:$M$64,""))</f>
        <v/>
      </c>
      <c r="P39" s="13">
        <f>IF($A39="","",COUNTIFS(Offers!$B$5:$B$44,$A39))</f>
        <v/>
      </c>
      <c r="Q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2" t="n"/>
      <c r="K40" s="12" t="n"/>
      <c r="L40" s="11" t="n"/>
      <c r="M40" s="13">
        <f>IF($J40="","",TODAY()-$J40)</f>
        <v/>
      </c>
      <c r="N40" s="13">
        <f>IF($J40="","",IF($M40&gt;45,"RED &gt;45d",IF($M40&gt;30,"AMBER &gt;30d","OK")))</f>
        <v/>
      </c>
      <c r="O40" s="13">
        <f>IF($A40="","",COUNTIFS(Candidates!$B$5:$B$64,$A40,Candidates!$M$5:$M$64,""))</f>
        <v/>
      </c>
      <c r="P40" s="13">
        <f>IF($A40="","",COUNTIFS(Offers!$B$5:$B$44,$A40))</f>
        <v/>
      </c>
      <c r="Q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2" t="n"/>
      <c r="K41" s="12" t="n"/>
      <c r="L41" s="11" t="n"/>
      <c r="M41" s="13">
        <f>IF($J41="","",TODAY()-$J41)</f>
        <v/>
      </c>
      <c r="N41" s="13">
        <f>IF($J41="","",IF($M41&gt;45,"RED &gt;45d",IF($M41&gt;30,"AMBER &gt;30d","OK")))</f>
        <v/>
      </c>
      <c r="O41" s="13">
        <f>IF($A41="","",COUNTIFS(Candidates!$B$5:$B$64,$A41,Candidates!$M$5:$M$64,""))</f>
        <v/>
      </c>
      <c r="P41" s="13">
        <f>IF($A41="","",COUNTIFS(Offers!$B$5:$B$44,$A41))</f>
        <v/>
      </c>
      <c r="Q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2" t="n"/>
      <c r="K42" s="12" t="n"/>
      <c r="L42" s="11" t="n"/>
      <c r="M42" s="13">
        <f>IF($J42="","",TODAY()-$J42)</f>
        <v/>
      </c>
      <c r="N42" s="13">
        <f>IF($J42="","",IF($M42&gt;45,"RED &gt;45d",IF($M42&gt;30,"AMBER &gt;30d","OK")))</f>
        <v/>
      </c>
      <c r="O42" s="13">
        <f>IF($A42="","",COUNTIFS(Candidates!$B$5:$B$64,$A42,Candidates!$M$5:$M$64,""))</f>
        <v/>
      </c>
      <c r="P42" s="13">
        <f>IF($A42="","",COUNTIFS(Offers!$B$5:$B$44,$A42))</f>
        <v/>
      </c>
      <c r="Q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2" t="n"/>
      <c r="K43" s="12" t="n"/>
      <c r="L43" s="11" t="n"/>
      <c r="M43" s="13">
        <f>IF($J43="","",TODAY()-$J43)</f>
        <v/>
      </c>
      <c r="N43" s="13">
        <f>IF($J43="","",IF($M43&gt;45,"RED &gt;45d",IF($M43&gt;30,"AMBER &gt;30d","OK")))</f>
        <v/>
      </c>
      <c r="O43" s="13">
        <f>IF($A43="","",COUNTIFS(Candidates!$B$5:$B$64,$A43,Candidates!$M$5:$M$64,""))</f>
        <v/>
      </c>
      <c r="P43" s="13">
        <f>IF($A43="","",COUNTIFS(Offers!$B$5:$B$44,$A43))</f>
        <v/>
      </c>
      <c r="Q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2" t="n"/>
      <c r="K44" s="12" t="n"/>
      <c r="L44" s="11" t="n"/>
      <c r="M44" s="13">
        <f>IF($J44="","",TODAY()-$J44)</f>
        <v/>
      </c>
      <c r="N44" s="13">
        <f>IF($J44="","",IF($M44&gt;45,"RED &gt;45d",IF($M44&gt;30,"AMBER &gt;30d","OK")))</f>
        <v/>
      </c>
      <c r="O44" s="13">
        <f>IF($A44="","",COUNTIFS(Candidates!$B$5:$B$64,$A44,Candidates!$M$5:$M$64,""))</f>
        <v/>
      </c>
      <c r="P44" s="13">
        <f>IF($A44="","",COUNTIFS(Offers!$B$5:$B$44,$A44))</f>
        <v/>
      </c>
      <c r="Q44" s="11" t="n"/>
    </row>
  </sheetData>
  <autoFilter ref="A4:Q4"/>
  <dataValidations count="4">
    <dataValidation sqref="E5:E44" showDropDown="0" showInputMessage="0" showErrorMessage="0" allowBlank="1" type="list">
      <formula1>"FT,PT,Temp,Contract,Seasonal"</formula1>
    </dataValidation>
    <dataValidation sqref="F5:F44" showDropDown="0" showInputMessage="0" showErrorMessage="0" allowBlank="1" type="list">
      <formula1>"Exempt,Non-exempt"</formula1>
    </dataValidation>
    <dataValidation sqref="H5:H44" showDropDown="0" showInputMessage="0" showErrorMessage="0" allowBlank="1" type="list">
      <formula1>"New headcount,Backfill,Seasonal,Conversion"</formula1>
    </dataValidation>
    <dataValidation sqref="L5:L44" showDropDown="0" showInputMessage="0" showErrorMessage="0" allowBlank="1" type="list">
      <formula1>"Intake,Approved,Posted,Sourcing,Screening,Interviewing,Offer Out,Filled,On Hold,Cancelled"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8" customWidth="1" min="4" max="4"/>
    <col width="16" customWidth="1" min="5" max="5"/>
    <col width="12" customWidth="1" min="6" max="6"/>
    <col width="12" customWidth="1" min="7" max="7"/>
    <col width="14" customWidth="1" min="8" max="8"/>
    <col width="12" customWidth="1" min="9" max="9"/>
    <col width="26" customWidth="1" min="10" max="10"/>
    <col width="14" customWidth="1" min="11" max="11"/>
    <col width="13" customWidth="1" min="12" max="12"/>
    <col width="14" customWidth="1" min="13" max="13"/>
    <col width="22" customWidth="1" min="14" max="14"/>
    <col width="30" customWidth="1" min="15" max="15"/>
  </cols>
  <sheetData>
    <row r="1">
      <c r="A1" s="6" t="inlineStr">
        <is>
          <t>PHASE 2 — CANDIDATE PIPELINE</t>
        </is>
      </c>
    </row>
    <row r="2">
      <c r="A2" s="2" t="inlineStr">
        <is>
          <t>Restricted fields (comp expectations, background status) belong on the Restricted tab, not here.</t>
        </is>
      </c>
    </row>
    <row r="4" ht="30" customHeight="1">
      <c r="A4" s="7" t="inlineStr">
        <is>
          <t>Cand ID</t>
        </is>
      </c>
      <c r="B4" s="7" t="inlineStr">
        <is>
          <t>Req ID</t>
        </is>
      </c>
      <c r="C4" s="7" t="inlineStr">
        <is>
          <t>Candidate</t>
        </is>
      </c>
      <c r="D4" s="7" t="inlineStr">
        <is>
          <t>Source</t>
        </is>
      </c>
      <c r="E4" s="7" t="inlineStr">
        <is>
          <t>Stage</t>
        </is>
      </c>
      <c r="F4" s="7" t="inlineStr">
        <is>
          <t>Stage Entry</t>
        </is>
      </c>
      <c r="G4" s="7" t="inlineStr">
        <is>
          <t>Days in Stage</t>
        </is>
      </c>
      <c r="H4" s="7" t="inlineStr">
        <is>
          <t>Aging Flag</t>
        </is>
      </c>
      <c r="I4" s="7" t="inlineStr">
        <is>
          <t>Last Contact</t>
        </is>
      </c>
      <c r="J4" s="7" t="inlineStr">
        <is>
          <t>Next Action</t>
        </is>
      </c>
      <c r="K4" s="7" t="inlineStr">
        <is>
          <t>Owner</t>
        </is>
      </c>
      <c r="L4" s="7" t="inlineStr">
        <is>
          <t>Next Action Due</t>
        </is>
      </c>
      <c r="M4" s="7" t="inlineStr">
        <is>
          <t>Disposition</t>
        </is>
      </c>
      <c r="N4" s="7" t="inlineStr">
        <is>
          <t>Reason Code</t>
        </is>
      </c>
      <c r="O4" s="7" t="inlineStr">
        <is>
          <t>Notes</t>
        </is>
      </c>
    </row>
    <row r="5">
      <c r="A5" s="8" t="inlineStr">
        <is>
          <t>C-2207</t>
        </is>
      </c>
      <c r="B5" s="8" t="inlineStr">
        <is>
          <t>REQ-1041</t>
        </is>
      </c>
      <c r="C5" s="8" t="inlineStr">
        <is>
          <t>J. Okafor</t>
        </is>
      </c>
      <c r="D5" s="8" t="inlineStr">
        <is>
          <t>Employee referral</t>
        </is>
      </c>
      <c r="E5" s="8" t="inlineStr">
        <is>
          <t>Onsite Loop</t>
        </is>
      </c>
      <c r="F5" s="9" t="n">
        <v>46244</v>
      </c>
      <c r="G5" s="10">
        <f>IF($F5="","",TODAY()-$F5)</f>
        <v/>
      </c>
      <c r="H5" s="10">
        <f>IF($F5="","",IF($M5&lt;&gt;"","Closed",IF($G5&gt;10,"RED &gt;10d",IF($G5&gt;5,"AMBER &gt;5d","OK"))))</f>
        <v/>
      </c>
      <c r="I5" s="9" t="n">
        <v>46246</v>
      </c>
      <c r="J5" s="8" t="inlineStr">
        <is>
          <t>Schedule panel debrief</t>
        </is>
      </c>
      <c r="K5" s="8" t="inlineStr">
        <is>
          <t>J. Pa</t>
        </is>
      </c>
      <c r="L5" s="9" t="n">
        <v>46252</v>
      </c>
      <c r="M5" s="8" t="inlineStr"/>
      <c r="N5" s="8" t="inlineStr"/>
      <c r="O5" s="8" t="inlineStr">
        <is>
          <t>EXAMPLE ROW — delete before use</t>
        </is>
      </c>
    </row>
    <row r="6">
      <c r="A6" s="11" t="n"/>
      <c r="B6" s="11" t="n"/>
      <c r="C6" s="11" t="n"/>
      <c r="D6" s="11" t="n"/>
      <c r="E6" s="11" t="n"/>
      <c r="F6" s="12" t="n"/>
      <c r="G6" s="13">
        <f>IF($F6="","",TODAY()-$F6)</f>
        <v/>
      </c>
      <c r="H6" s="13">
        <f>IF($F6="","",IF($M6&lt;&gt;"","Closed",IF($G6&gt;10,"RED &gt;10d",IF($G6&gt;5,"AMBER &gt;5d","OK"))))</f>
        <v/>
      </c>
      <c r="I6" s="12" t="n"/>
      <c r="J6" s="11" t="n"/>
      <c r="K6" s="11" t="n"/>
      <c r="L6" s="12" t="n"/>
      <c r="M6" s="11" t="n"/>
      <c r="N6" s="11" t="n"/>
      <c r="O6" s="11" t="n"/>
    </row>
    <row r="7">
      <c r="A7" s="11" t="n"/>
      <c r="B7" s="11" t="n"/>
      <c r="C7" s="11" t="n"/>
      <c r="D7" s="11" t="n"/>
      <c r="E7" s="11" t="n"/>
      <c r="F7" s="12" t="n"/>
      <c r="G7" s="13">
        <f>IF($F7="","",TODAY()-$F7)</f>
        <v/>
      </c>
      <c r="H7" s="13">
        <f>IF($F7="","",IF($M7&lt;&gt;"","Closed",IF($G7&gt;10,"RED &gt;10d",IF($G7&gt;5,"AMBER &gt;5d","OK"))))</f>
        <v/>
      </c>
      <c r="I7" s="12" t="n"/>
      <c r="J7" s="11" t="n"/>
      <c r="K7" s="11" t="n"/>
      <c r="L7" s="12" t="n"/>
      <c r="M7" s="11" t="n"/>
      <c r="N7" s="11" t="n"/>
      <c r="O7" s="11" t="n"/>
    </row>
    <row r="8">
      <c r="A8" s="11" t="n"/>
      <c r="B8" s="11" t="n"/>
      <c r="C8" s="11" t="n"/>
      <c r="D8" s="11" t="n"/>
      <c r="E8" s="11" t="n"/>
      <c r="F8" s="12" t="n"/>
      <c r="G8" s="13">
        <f>IF($F8="","",TODAY()-$F8)</f>
        <v/>
      </c>
      <c r="H8" s="13">
        <f>IF($F8="","",IF($M8&lt;&gt;"","Closed",IF($G8&gt;10,"RED &gt;10d",IF($G8&gt;5,"AMBER &gt;5d","OK"))))</f>
        <v/>
      </c>
      <c r="I8" s="12" t="n"/>
      <c r="J8" s="11" t="n"/>
      <c r="K8" s="11" t="n"/>
      <c r="L8" s="12" t="n"/>
      <c r="M8" s="11" t="n"/>
      <c r="N8" s="11" t="n"/>
      <c r="O8" s="11" t="n"/>
    </row>
    <row r="9">
      <c r="A9" s="11" t="n"/>
      <c r="B9" s="11" t="n"/>
      <c r="C9" s="11" t="n"/>
      <c r="D9" s="11" t="n"/>
      <c r="E9" s="11" t="n"/>
      <c r="F9" s="12" t="n"/>
      <c r="G9" s="13">
        <f>IF($F9="","",TODAY()-$F9)</f>
        <v/>
      </c>
      <c r="H9" s="13">
        <f>IF($F9="","",IF($M9&lt;&gt;"","Closed",IF($G9&gt;10,"RED &gt;10d",IF($G9&gt;5,"AMBER &gt;5d","OK"))))</f>
        <v/>
      </c>
      <c r="I9" s="12" t="n"/>
      <c r="J9" s="11" t="n"/>
      <c r="K9" s="11" t="n"/>
      <c r="L9" s="12" t="n"/>
      <c r="M9" s="11" t="n"/>
      <c r="N9" s="11" t="n"/>
      <c r="O9" s="11" t="n"/>
    </row>
    <row r="10">
      <c r="A10" s="11" t="n"/>
      <c r="B10" s="11" t="n"/>
      <c r="C10" s="11" t="n"/>
      <c r="D10" s="11" t="n"/>
      <c r="E10" s="11" t="n"/>
      <c r="F10" s="12" t="n"/>
      <c r="G10" s="13">
        <f>IF($F10="","",TODAY()-$F10)</f>
        <v/>
      </c>
      <c r="H10" s="13">
        <f>IF($F10="","",IF($M10&lt;&gt;"","Closed",IF($G10&gt;10,"RED &gt;10d",IF($G10&gt;5,"AMBER &gt;5d","OK"))))</f>
        <v/>
      </c>
      <c r="I10" s="12" t="n"/>
      <c r="J10" s="11" t="n"/>
      <c r="K10" s="11" t="n"/>
      <c r="L10" s="12" t="n"/>
      <c r="M10" s="11" t="n"/>
      <c r="N10" s="11" t="n"/>
      <c r="O10" s="11" t="n"/>
    </row>
    <row r="11">
      <c r="A11" s="11" t="n"/>
      <c r="B11" s="11" t="n"/>
      <c r="C11" s="11" t="n"/>
      <c r="D11" s="11" t="n"/>
      <c r="E11" s="11" t="n"/>
      <c r="F11" s="12" t="n"/>
      <c r="G11" s="13">
        <f>IF($F11="","",TODAY()-$F11)</f>
        <v/>
      </c>
      <c r="H11" s="13">
        <f>IF($F11="","",IF($M11&lt;&gt;"","Closed",IF($G11&gt;10,"RED &gt;10d",IF($G11&gt;5,"AMBER &gt;5d","OK"))))</f>
        <v/>
      </c>
      <c r="I11" s="12" t="n"/>
      <c r="J11" s="11" t="n"/>
      <c r="K11" s="11" t="n"/>
      <c r="L11" s="12" t="n"/>
      <c r="M11" s="11" t="n"/>
      <c r="N11" s="11" t="n"/>
      <c r="O11" s="11" t="n"/>
    </row>
    <row r="12">
      <c r="A12" s="11" t="n"/>
      <c r="B12" s="11" t="n"/>
      <c r="C12" s="11" t="n"/>
      <c r="D12" s="11" t="n"/>
      <c r="E12" s="11" t="n"/>
      <c r="F12" s="12" t="n"/>
      <c r="G12" s="13">
        <f>IF($F12="","",TODAY()-$F12)</f>
        <v/>
      </c>
      <c r="H12" s="13">
        <f>IF($F12="","",IF($M12&lt;&gt;"","Closed",IF($G12&gt;10,"RED &gt;10d",IF($G12&gt;5,"AMBER &gt;5d","OK"))))</f>
        <v/>
      </c>
      <c r="I12" s="12" t="n"/>
      <c r="J12" s="11" t="n"/>
      <c r="K12" s="11" t="n"/>
      <c r="L12" s="12" t="n"/>
      <c r="M12" s="11" t="n"/>
      <c r="N12" s="11" t="n"/>
      <c r="O12" s="11" t="n"/>
    </row>
    <row r="13">
      <c r="A13" s="11" t="n"/>
      <c r="B13" s="11" t="n"/>
      <c r="C13" s="11" t="n"/>
      <c r="D13" s="11" t="n"/>
      <c r="E13" s="11" t="n"/>
      <c r="F13" s="12" t="n"/>
      <c r="G13" s="13">
        <f>IF($F13="","",TODAY()-$F13)</f>
        <v/>
      </c>
      <c r="H13" s="13">
        <f>IF($F13="","",IF($M13&lt;&gt;"","Closed",IF($G13&gt;10,"RED &gt;10d",IF($G13&gt;5,"AMBER &gt;5d","OK"))))</f>
        <v/>
      </c>
      <c r="I13" s="12" t="n"/>
      <c r="J13" s="11" t="n"/>
      <c r="K13" s="11" t="n"/>
      <c r="L13" s="12" t="n"/>
      <c r="M13" s="11" t="n"/>
      <c r="N13" s="11" t="n"/>
      <c r="O13" s="11" t="n"/>
    </row>
    <row r="14">
      <c r="A14" s="11" t="n"/>
      <c r="B14" s="11" t="n"/>
      <c r="C14" s="11" t="n"/>
      <c r="D14" s="11" t="n"/>
      <c r="E14" s="11" t="n"/>
      <c r="F14" s="12" t="n"/>
      <c r="G14" s="13">
        <f>IF($F14="","",TODAY()-$F14)</f>
        <v/>
      </c>
      <c r="H14" s="13">
        <f>IF($F14="","",IF($M14&lt;&gt;"","Closed",IF($G14&gt;10,"RED &gt;10d",IF($G14&gt;5,"AMBER &gt;5d","OK"))))</f>
        <v/>
      </c>
      <c r="I14" s="12" t="n"/>
      <c r="J14" s="11" t="n"/>
      <c r="K14" s="11" t="n"/>
      <c r="L14" s="12" t="n"/>
      <c r="M14" s="11" t="n"/>
      <c r="N14" s="11" t="n"/>
      <c r="O14" s="11" t="n"/>
    </row>
    <row r="15">
      <c r="A15" s="11" t="n"/>
      <c r="B15" s="11" t="n"/>
      <c r="C15" s="11" t="n"/>
      <c r="D15" s="11" t="n"/>
      <c r="E15" s="11" t="n"/>
      <c r="F15" s="12" t="n"/>
      <c r="G15" s="13">
        <f>IF($F15="","",TODAY()-$F15)</f>
        <v/>
      </c>
      <c r="H15" s="13">
        <f>IF($F15="","",IF($M15&lt;&gt;"","Closed",IF($G15&gt;10,"RED &gt;10d",IF($G15&gt;5,"AMBER &gt;5d","OK"))))</f>
        <v/>
      </c>
      <c r="I15" s="12" t="n"/>
      <c r="J15" s="11" t="n"/>
      <c r="K15" s="11" t="n"/>
      <c r="L15" s="12" t="n"/>
      <c r="M15" s="11" t="n"/>
      <c r="N15" s="11" t="n"/>
      <c r="O15" s="11" t="n"/>
    </row>
    <row r="16">
      <c r="A16" s="11" t="n"/>
      <c r="B16" s="11" t="n"/>
      <c r="C16" s="11" t="n"/>
      <c r="D16" s="11" t="n"/>
      <c r="E16" s="11" t="n"/>
      <c r="F16" s="12" t="n"/>
      <c r="G16" s="13">
        <f>IF($F16="","",TODAY()-$F16)</f>
        <v/>
      </c>
      <c r="H16" s="13">
        <f>IF($F16="","",IF($M16&lt;&gt;"","Closed",IF($G16&gt;10,"RED &gt;10d",IF($G16&gt;5,"AMBER &gt;5d","OK"))))</f>
        <v/>
      </c>
      <c r="I16" s="12" t="n"/>
      <c r="J16" s="11" t="n"/>
      <c r="K16" s="11" t="n"/>
      <c r="L16" s="12" t="n"/>
      <c r="M16" s="11" t="n"/>
      <c r="N16" s="11" t="n"/>
      <c r="O16" s="11" t="n"/>
    </row>
    <row r="17">
      <c r="A17" s="11" t="n"/>
      <c r="B17" s="11" t="n"/>
      <c r="C17" s="11" t="n"/>
      <c r="D17" s="11" t="n"/>
      <c r="E17" s="11" t="n"/>
      <c r="F17" s="12" t="n"/>
      <c r="G17" s="13">
        <f>IF($F17="","",TODAY()-$F17)</f>
        <v/>
      </c>
      <c r="H17" s="13">
        <f>IF($F17="","",IF($M17&lt;&gt;"","Closed",IF($G17&gt;10,"RED &gt;10d",IF($G17&gt;5,"AMBER &gt;5d","OK"))))</f>
        <v/>
      </c>
      <c r="I17" s="12" t="n"/>
      <c r="J17" s="11" t="n"/>
      <c r="K17" s="11" t="n"/>
      <c r="L17" s="12" t="n"/>
      <c r="M17" s="11" t="n"/>
      <c r="N17" s="11" t="n"/>
      <c r="O17" s="11" t="n"/>
    </row>
    <row r="18">
      <c r="A18" s="11" t="n"/>
      <c r="B18" s="11" t="n"/>
      <c r="C18" s="11" t="n"/>
      <c r="D18" s="11" t="n"/>
      <c r="E18" s="11" t="n"/>
      <c r="F18" s="12" t="n"/>
      <c r="G18" s="13">
        <f>IF($F18="","",TODAY()-$F18)</f>
        <v/>
      </c>
      <c r="H18" s="13">
        <f>IF($F18="","",IF($M18&lt;&gt;"","Closed",IF($G18&gt;10,"RED &gt;10d",IF($G18&gt;5,"AMBER &gt;5d","OK"))))</f>
        <v/>
      </c>
      <c r="I18" s="12" t="n"/>
      <c r="J18" s="11" t="n"/>
      <c r="K18" s="11" t="n"/>
      <c r="L18" s="12" t="n"/>
      <c r="M18" s="11" t="n"/>
      <c r="N18" s="11" t="n"/>
      <c r="O18" s="11" t="n"/>
    </row>
    <row r="19">
      <c r="A19" s="11" t="n"/>
      <c r="B19" s="11" t="n"/>
      <c r="C19" s="11" t="n"/>
      <c r="D19" s="11" t="n"/>
      <c r="E19" s="11" t="n"/>
      <c r="F19" s="12" t="n"/>
      <c r="G19" s="13">
        <f>IF($F19="","",TODAY()-$F19)</f>
        <v/>
      </c>
      <c r="H19" s="13">
        <f>IF($F19="","",IF($M19&lt;&gt;"","Closed",IF($G19&gt;10,"RED &gt;10d",IF($G19&gt;5,"AMBER &gt;5d","OK"))))</f>
        <v/>
      </c>
      <c r="I19" s="12" t="n"/>
      <c r="J19" s="11" t="n"/>
      <c r="K19" s="11" t="n"/>
      <c r="L19" s="12" t="n"/>
      <c r="M19" s="11" t="n"/>
      <c r="N19" s="11" t="n"/>
      <c r="O19" s="11" t="n"/>
    </row>
    <row r="20">
      <c r="A20" s="11" t="n"/>
      <c r="B20" s="11" t="n"/>
      <c r="C20" s="11" t="n"/>
      <c r="D20" s="11" t="n"/>
      <c r="E20" s="11" t="n"/>
      <c r="F20" s="12" t="n"/>
      <c r="G20" s="13">
        <f>IF($F20="","",TODAY()-$F20)</f>
        <v/>
      </c>
      <c r="H20" s="13">
        <f>IF($F20="","",IF($M20&lt;&gt;"","Closed",IF($G20&gt;10,"RED &gt;10d",IF($G20&gt;5,"AMBER &gt;5d","OK"))))</f>
        <v/>
      </c>
      <c r="I20" s="12" t="n"/>
      <c r="J20" s="11" t="n"/>
      <c r="K20" s="11" t="n"/>
      <c r="L20" s="12" t="n"/>
      <c r="M20" s="11" t="n"/>
      <c r="N20" s="11" t="n"/>
      <c r="O20" s="11" t="n"/>
    </row>
    <row r="21">
      <c r="A21" s="11" t="n"/>
      <c r="B21" s="11" t="n"/>
      <c r="C21" s="11" t="n"/>
      <c r="D21" s="11" t="n"/>
      <c r="E21" s="11" t="n"/>
      <c r="F21" s="12" t="n"/>
      <c r="G21" s="13">
        <f>IF($F21="","",TODAY()-$F21)</f>
        <v/>
      </c>
      <c r="H21" s="13">
        <f>IF($F21="","",IF($M21&lt;&gt;"","Closed",IF($G21&gt;10,"RED &gt;10d",IF($G21&gt;5,"AMBER &gt;5d","OK"))))</f>
        <v/>
      </c>
      <c r="I21" s="12" t="n"/>
      <c r="J21" s="11" t="n"/>
      <c r="K21" s="11" t="n"/>
      <c r="L21" s="12" t="n"/>
      <c r="M21" s="11" t="n"/>
      <c r="N21" s="11" t="n"/>
      <c r="O21" s="11" t="n"/>
    </row>
    <row r="22">
      <c r="A22" s="11" t="n"/>
      <c r="B22" s="11" t="n"/>
      <c r="C22" s="11" t="n"/>
      <c r="D22" s="11" t="n"/>
      <c r="E22" s="11" t="n"/>
      <c r="F22" s="12" t="n"/>
      <c r="G22" s="13">
        <f>IF($F22="","",TODAY()-$F22)</f>
        <v/>
      </c>
      <c r="H22" s="13">
        <f>IF($F22="","",IF($M22&lt;&gt;"","Closed",IF($G22&gt;10,"RED &gt;10d",IF($G22&gt;5,"AMBER &gt;5d","OK"))))</f>
        <v/>
      </c>
      <c r="I22" s="12" t="n"/>
      <c r="J22" s="11" t="n"/>
      <c r="K22" s="11" t="n"/>
      <c r="L22" s="12" t="n"/>
      <c r="M22" s="11" t="n"/>
      <c r="N22" s="11" t="n"/>
      <c r="O22" s="11" t="n"/>
    </row>
    <row r="23">
      <c r="A23" s="11" t="n"/>
      <c r="B23" s="11" t="n"/>
      <c r="C23" s="11" t="n"/>
      <c r="D23" s="11" t="n"/>
      <c r="E23" s="11" t="n"/>
      <c r="F23" s="12" t="n"/>
      <c r="G23" s="13">
        <f>IF($F23="","",TODAY()-$F23)</f>
        <v/>
      </c>
      <c r="H23" s="13">
        <f>IF($F23="","",IF($M23&lt;&gt;"","Closed",IF($G23&gt;10,"RED &gt;10d",IF($G23&gt;5,"AMBER &gt;5d","OK"))))</f>
        <v/>
      </c>
      <c r="I23" s="12" t="n"/>
      <c r="J23" s="11" t="n"/>
      <c r="K23" s="11" t="n"/>
      <c r="L23" s="12" t="n"/>
      <c r="M23" s="11" t="n"/>
      <c r="N23" s="11" t="n"/>
      <c r="O23" s="11" t="n"/>
    </row>
    <row r="24">
      <c r="A24" s="11" t="n"/>
      <c r="B24" s="11" t="n"/>
      <c r="C24" s="11" t="n"/>
      <c r="D24" s="11" t="n"/>
      <c r="E24" s="11" t="n"/>
      <c r="F24" s="12" t="n"/>
      <c r="G24" s="13">
        <f>IF($F24="","",TODAY()-$F24)</f>
        <v/>
      </c>
      <c r="H24" s="13">
        <f>IF($F24="","",IF($M24&lt;&gt;"","Closed",IF($G24&gt;10,"RED &gt;10d",IF($G24&gt;5,"AMBER &gt;5d","OK"))))</f>
        <v/>
      </c>
      <c r="I24" s="12" t="n"/>
      <c r="J24" s="11" t="n"/>
      <c r="K24" s="11" t="n"/>
      <c r="L24" s="12" t="n"/>
      <c r="M24" s="11" t="n"/>
      <c r="N24" s="11" t="n"/>
      <c r="O24" s="11" t="n"/>
    </row>
    <row r="25">
      <c r="A25" s="11" t="n"/>
      <c r="B25" s="11" t="n"/>
      <c r="C25" s="11" t="n"/>
      <c r="D25" s="11" t="n"/>
      <c r="E25" s="11" t="n"/>
      <c r="F25" s="12" t="n"/>
      <c r="G25" s="13">
        <f>IF($F25="","",TODAY()-$F25)</f>
        <v/>
      </c>
      <c r="H25" s="13">
        <f>IF($F25="","",IF($M25&lt;&gt;"","Closed",IF($G25&gt;10,"RED &gt;10d",IF($G25&gt;5,"AMBER &gt;5d","OK"))))</f>
        <v/>
      </c>
      <c r="I25" s="12" t="n"/>
      <c r="J25" s="11" t="n"/>
      <c r="K25" s="11" t="n"/>
      <c r="L25" s="12" t="n"/>
      <c r="M25" s="11" t="n"/>
      <c r="N25" s="11" t="n"/>
      <c r="O25" s="11" t="n"/>
    </row>
    <row r="26">
      <c r="A26" s="11" t="n"/>
      <c r="B26" s="11" t="n"/>
      <c r="C26" s="11" t="n"/>
      <c r="D26" s="11" t="n"/>
      <c r="E26" s="11" t="n"/>
      <c r="F26" s="12" t="n"/>
      <c r="G26" s="13">
        <f>IF($F26="","",TODAY()-$F26)</f>
        <v/>
      </c>
      <c r="H26" s="13">
        <f>IF($F26="","",IF($M26&lt;&gt;"","Closed",IF($G26&gt;10,"RED &gt;10d",IF($G26&gt;5,"AMBER &gt;5d","OK"))))</f>
        <v/>
      </c>
      <c r="I26" s="12" t="n"/>
      <c r="J26" s="11" t="n"/>
      <c r="K26" s="11" t="n"/>
      <c r="L26" s="12" t="n"/>
      <c r="M26" s="11" t="n"/>
      <c r="N26" s="11" t="n"/>
      <c r="O26" s="11" t="n"/>
    </row>
    <row r="27">
      <c r="A27" s="11" t="n"/>
      <c r="B27" s="11" t="n"/>
      <c r="C27" s="11" t="n"/>
      <c r="D27" s="11" t="n"/>
      <c r="E27" s="11" t="n"/>
      <c r="F27" s="12" t="n"/>
      <c r="G27" s="13">
        <f>IF($F27="","",TODAY()-$F27)</f>
        <v/>
      </c>
      <c r="H27" s="13">
        <f>IF($F27="","",IF($M27&lt;&gt;"","Closed",IF($G27&gt;10,"RED &gt;10d",IF($G27&gt;5,"AMBER &gt;5d","OK"))))</f>
        <v/>
      </c>
      <c r="I27" s="12" t="n"/>
      <c r="J27" s="11" t="n"/>
      <c r="K27" s="11" t="n"/>
      <c r="L27" s="12" t="n"/>
      <c r="M27" s="11" t="n"/>
      <c r="N27" s="11" t="n"/>
      <c r="O27" s="11" t="n"/>
    </row>
    <row r="28">
      <c r="A28" s="11" t="n"/>
      <c r="B28" s="11" t="n"/>
      <c r="C28" s="11" t="n"/>
      <c r="D28" s="11" t="n"/>
      <c r="E28" s="11" t="n"/>
      <c r="F28" s="12" t="n"/>
      <c r="G28" s="13">
        <f>IF($F28="","",TODAY()-$F28)</f>
        <v/>
      </c>
      <c r="H28" s="13">
        <f>IF($F28="","",IF($M28&lt;&gt;"","Closed",IF($G28&gt;10,"RED &gt;10d",IF($G28&gt;5,"AMBER &gt;5d","OK"))))</f>
        <v/>
      </c>
      <c r="I28" s="12" t="n"/>
      <c r="J28" s="11" t="n"/>
      <c r="K28" s="11" t="n"/>
      <c r="L28" s="12" t="n"/>
      <c r="M28" s="11" t="n"/>
      <c r="N28" s="11" t="n"/>
      <c r="O28" s="11" t="n"/>
    </row>
    <row r="29">
      <c r="A29" s="11" t="n"/>
      <c r="B29" s="11" t="n"/>
      <c r="C29" s="11" t="n"/>
      <c r="D29" s="11" t="n"/>
      <c r="E29" s="11" t="n"/>
      <c r="F29" s="12" t="n"/>
      <c r="G29" s="13">
        <f>IF($F29="","",TODAY()-$F29)</f>
        <v/>
      </c>
      <c r="H29" s="13">
        <f>IF($F29="","",IF($M29&lt;&gt;"","Closed",IF($G29&gt;10,"RED &gt;10d",IF($G29&gt;5,"AMBER &gt;5d","OK"))))</f>
        <v/>
      </c>
      <c r="I29" s="12" t="n"/>
      <c r="J29" s="11" t="n"/>
      <c r="K29" s="11" t="n"/>
      <c r="L29" s="12" t="n"/>
      <c r="M29" s="11" t="n"/>
      <c r="N29" s="11" t="n"/>
      <c r="O29" s="11" t="n"/>
    </row>
    <row r="30">
      <c r="A30" s="11" t="n"/>
      <c r="B30" s="11" t="n"/>
      <c r="C30" s="11" t="n"/>
      <c r="D30" s="11" t="n"/>
      <c r="E30" s="11" t="n"/>
      <c r="F30" s="12" t="n"/>
      <c r="G30" s="13">
        <f>IF($F30="","",TODAY()-$F30)</f>
        <v/>
      </c>
      <c r="H30" s="13">
        <f>IF($F30="","",IF($M30&lt;&gt;"","Closed",IF($G30&gt;10,"RED &gt;10d",IF($G30&gt;5,"AMBER &gt;5d","OK"))))</f>
        <v/>
      </c>
      <c r="I30" s="12" t="n"/>
      <c r="J30" s="11" t="n"/>
      <c r="K30" s="11" t="n"/>
      <c r="L30" s="12" t="n"/>
      <c r="M30" s="11" t="n"/>
      <c r="N30" s="11" t="n"/>
      <c r="O30" s="11" t="n"/>
    </row>
    <row r="31">
      <c r="A31" s="11" t="n"/>
      <c r="B31" s="11" t="n"/>
      <c r="C31" s="11" t="n"/>
      <c r="D31" s="11" t="n"/>
      <c r="E31" s="11" t="n"/>
      <c r="F31" s="12" t="n"/>
      <c r="G31" s="13">
        <f>IF($F31="","",TODAY()-$F31)</f>
        <v/>
      </c>
      <c r="H31" s="13">
        <f>IF($F31="","",IF($M31&lt;&gt;"","Closed",IF($G31&gt;10,"RED &gt;10d",IF($G31&gt;5,"AMBER &gt;5d","OK"))))</f>
        <v/>
      </c>
      <c r="I31" s="12" t="n"/>
      <c r="J31" s="11" t="n"/>
      <c r="K31" s="11" t="n"/>
      <c r="L31" s="12" t="n"/>
      <c r="M31" s="11" t="n"/>
      <c r="N31" s="11" t="n"/>
      <c r="O31" s="11" t="n"/>
    </row>
    <row r="32">
      <c r="A32" s="11" t="n"/>
      <c r="B32" s="11" t="n"/>
      <c r="C32" s="11" t="n"/>
      <c r="D32" s="11" t="n"/>
      <c r="E32" s="11" t="n"/>
      <c r="F32" s="12" t="n"/>
      <c r="G32" s="13">
        <f>IF($F32="","",TODAY()-$F32)</f>
        <v/>
      </c>
      <c r="H32" s="13">
        <f>IF($F32="","",IF($M32&lt;&gt;"","Closed",IF($G32&gt;10,"RED &gt;10d",IF($G32&gt;5,"AMBER &gt;5d","OK"))))</f>
        <v/>
      </c>
      <c r="I32" s="12" t="n"/>
      <c r="J32" s="11" t="n"/>
      <c r="K32" s="11" t="n"/>
      <c r="L32" s="12" t="n"/>
      <c r="M32" s="11" t="n"/>
      <c r="N32" s="11" t="n"/>
      <c r="O32" s="11" t="n"/>
    </row>
    <row r="33">
      <c r="A33" s="11" t="n"/>
      <c r="B33" s="11" t="n"/>
      <c r="C33" s="11" t="n"/>
      <c r="D33" s="11" t="n"/>
      <c r="E33" s="11" t="n"/>
      <c r="F33" s="12" t="n"/>
      <c r="G33" s="13">
        <f>IF($F33="","",TODAY()-$F33)</f>
        <v/>
      </c>
      <c r="H33" s="13">
        <f>IF($F33="","",IF($M33&lt;&gt;"","Closed",IF($G33&gt;10,"RED &gt;10d",IF($G33&gt;5,"AMBER &gt;5d","OK"))))</f>
        <v/>
      </c>
      <c r="I33" s="12" t="n"/>
      <c r="J33" s="11" t="n"/>
      <c r="K33" s="11" t="n"/>
      <c r="L33" s="12" t="n"/>
      <c r="M33" s="11" t="n"/>
      <c r="N33" s="11" t="n"/>
      <c r="O33" s="11" t="n"/>
    </row>
    <row r="34">
      <c r="A34" s="11" t="n"/>
      <c r="B34" s="11" t="n"/>
      <c r="C34" s="11" t="n"/>
      <c r="D34" s="11" t="n"/>
      <c r="E34" s="11" t="n"/>
      <c r="F34" s="12" t="n"/>
      <c r="G34" s="13">
        <f>IF($F34="","",TODAY()-$F34)</f>
        <v/>
      </c>
      <c r="H34" s="13">
        <f>IF($F34="","",IF($M34&lt;&gt;"","Closed",IF($G34&gt;10,"RED &gt;10d",IF($G34&gt;5,"AMBER &gt;5d","OK"))))</f>
        <v/>
      </c>
      <c r="I34" s="12" t="n"/>
      <c r="J34" s="11" t="n"/>
      <c r="K34" s="11" t="n"/>
      <c r="L34" s="12" t="n"/>
      <c r="M34" s="11" t="n"/>
      <c r="N34" s="11" t="n"/>
      <c r="O34" s="11" t="n"/>
    </row>
    <row r="35">
      <c r="A35" s="11" t="n"/>
      <c r="B35" s="11" t="n"/>
      <c r="C35" s="11" t="n"/>
      <c r="D35" s="11" t="n"/>
      <c r="E35" s="11" t="n"/>
      <c r="F35" s="12" t="n"/>
      <c r="G35" s="13">
        <f>IF($F35="","",TODAY()-$F35)</f>
        <v/>
      </c>
      <c r="H35" s="13">
        <f>IF($F35="","",IF($M35&lt;&gt;"","Closed",IF($G35&gt;10,"RED &gt;10d",IF($G35&gt;5,"AMBER &gt;5d","OK"))))</f>
        <v/>
      </c>
      <c r="I35" s="12" t="n"/>
      <c r="J35" s="11" t="n"/>
      <c r="K35" s="11" t="n"/>
      <c r="L35" s="12" t="n"/>
      <c r="M35" s="11" t="n"/>
      <c r="N35" s="11" t="n"/>
      <c r="O35" s="11" t="n"/>
    </row>
    <row r="36">
      <c r="A36" s="11" t="n"/>
      <c r="B36" s="11" t="n"/>
      <c r="C36" s="11" t="n"/>
      <c r="D36" s="11" t="n"/>
      <c r="E36" s="11" t="n"/>
      <c r="F36" s="12" t="n"/>
      <c r="G36" s="13">
        <f>IF($F36="","",TODAY()-$F36)</f>
        <v/>
      </c>
      <c r="H36" s="13">
        <f>IF($F36="","",IF($M36&lt;&gt;"","Closed",IF($G36&gt;10,"RED &gt;10d",IF($G36&gt;5,"AMBER &gt;5d","OK"))))</f>
        <v/>
      </c>
      <c r="I36" s="12" t="n"/>
      <c r="J36" s="11" t="n"/>
      <c r="K36" s="11" t="n"/>
      <c r="L36" s="12" t="n"/>
      <c r="M36" s="11" t="n"/>
      <c r="N36" s="11" t="n"/>
      <c r="O36" s="11" t="n"/>
    </row>
    <row r="37">
      <c r="A37" s="11" t="n"/>
      <c r="B37" s="11" t="n"/>
      <c r="C37" s="11" t="n"/>
      <c r="D37" s="11" t="n"/>
      <c r="E37" s="11" t="n"/>
      <c r="F37" s="12" t="n"/>
      <c r="G37" s="13">
        <f>IF($F37="","",TODAY()-$F37)</f>
        <v/>
      </c>
      <c r="H37" s="13">
        <f>IF($F37="","",IF($M37&lt;&gt;"","Closed",IF($G37&gt;10,"RED &gt;10d",IF($G37&gt;5,"AMBER &gt;5d","OK"))))</f>
        <v/>
      </c>
      <c r="I37" s="12" t="n"/>
      <c r="J37" s="11" t="n"/>
      <c r="K37" s="11" t="n"/>
      <c r="L37" s="12" t="n"/>
      <c r="M37" s="11" t="n"/>
      <c r="N37" s="11" t="n"/>
      <c r="O37" s="11" t="n"/>
    </row>
    <row r="38">
      <c r="A38" s="11" t="n"/>
      <c r="B38" s="11" t="n"/>
      <c r="C38" s="11" t="n"/>
      <c r="D38" s="11" t="n"/>
      <c r="E38" s="11" t="n"/>
      <c r="F38" s="12" t="n"/>
      <c r="G38" s="13">
        <f>IF($F38="","",TODAY()-$F38)</f>
        <v/>
      </c>
      <c r="H38" s="13">
        <f>IF($F38="","",IF($M38&lt;&gt;"","Closed",IF($G38&gt;10,"RED &gt;10d",IF($G38&gt;5,"AMBER &gt;5d","OK"))))</f>
        <v/>
      </c>
      <c r="I38" s="12" t="n"/>
      <c r="J38" s="11" t="n"/>
      <c r="K38" s="11" t="n"/>
      <c r="L38" s="12" t="n"/>
      <c r="M38" s="11" t="n"/>
      <c r="N38" s="11" t="n"/>
      <c r="O38" s="11" t="n"/>
    </row>
    <row r="39">
      <c r="A39" s="11" t="n"/>
      <c r="B39" s="11" t="n"/>
      <c r="C39" s="11" t="n"/>
      <c r="D39" s="11" t="n"/>
      <c r="E39" s="11" t="n"/>
      <c r="F39" s="12" t="n"/>
      <c r="G39" s="13">
        <f>IF($F39="","",TODAY()-$F39)</f>
        <v/>
      </c>
      <c r="H39" s="13">
        <f>IF($F39="","",IF($M39&lt;&gt;"","Closed",IF($G39&gt;10,"RED &gt;10d",IF($G39&gt;5,"AMBER &gt;5d","OK"))))</f>
        <v/>
      </c>
      <c r="I39" s="12" t="n"/>
      <c r="J39" s="11" t="n"/>
      <c r="K39" s="11" t="n"/>
      <c r="L39" s="12" t="n"/>
      <c r="M39" s="11" t="n"/>
      <c r="N39" s="11" t="n"/>
      <c r="O39" s="11" t="n"/>
    </row>
    <row r="40">
      <c r="A40" s="11" t="n"/>
      <c r="B40" s="11" t="n"/>
      <c r="C40" s="11" t="n"/>
      <c r="D40" s="11" t="n"/>
      <c r="E40" s="11" t="n"/>
      <c r="F40" s="12" t="n"/>
      <c r="G40" s="13">
        <f>IF($F40="","",TODAY()-$F40)</f>
        <v/>
      </c>
      <c r="H40" s="13">
        <f>IF($F40="","",IF($M40&lt;&gt;"","Closed",IF($G40&gt;10,"RED &gt;10d",IF($G40&gt;5,"AMBER &gt;5d","OK"))))</f>
        <v/>
      </c>
      <c r="I40" s="12" t="n"/>
      <c r="J40" s="11" t="n"/>
      <c r="K40" s="11" t="n"/>
      <c r="L40" s="12" t="n"/>
      <c r="M40" s="11" t="n"/>
      <c r="N40" s="11" t="n"/>
      <c r="O40" s="11" t="n"/>
    </row>
    <row r="41">
      <c r="A41" s="11" t="n"/>
      <c r="B41" s="11" t="n"/>
      <c r="C41" s="11" t="n"/>
      <c r="D41" s="11" t="n"/>
      <c r="E41" s="11" t="n"/>
      <c r="F41" s="12" t="n"/>
      <c r="G41" s="13">
        <f>IF($F41="","",TODAY()-$F41)</f>
        <v/>
      </c>
      <c r="H41" s="13">
        <f>IF($F41="","",IF($M41&lt;&gt;"","Closed",IF($G41&gt;10,"RED &gt;10d",IF($G41&gt;5,"AMBER &gt;5d","OK"))))</f>
        <v/>
      </c>
      <c r="I41" s="12" t="n"/>
      <c r="J41" s="11" t="n"/>
      <c r="K41" s="11" t="n"/>
      <c r="L41" s="12" t="n"/>
      <c r="M41" s="11" t="n"/>
      <c r="N41" s="11" t="n"/>
      <c r="O41" s="11" t="n"/>
    </row>
    <row r="42">
      <c r="A42" s="11" t="n"/>
      <c r="B42" s="11" t="n"/>
      <c r="C42" s="11" t="n"/>
      <c r="D42" s="11" t="n"/>
      <c r="E42" s="11" t="n"/>
      <c r="F42" s="12" t="n"/>
      <c r="G42" s="13">
        <f>IF($F42="","",TODAY()-$F42)</f>
        <v/>
      </c>
      <c r="H42" s="13">
        <f>IF($F42="","",IF($M42&lt;&gt;"","Closed",IF($G42&gt;10,"RED &gt;10d",IF($G42&gt;5,"AMBER &gt;5d","OK"))))</f>
        <v/>
      </c>
      <c r="I42" s="12" t="n"/>
      <c r="J42" s="11" t="n"/>
      <c r="K42" s="11" t="n"/>
      <c r="L42" s="12" t="n"/>
      <c r="M42" s="11" t="n"/>
      <c r="N42" s="11" t="n"/>
      <c r="O42" s="11" t="n"/>
    </row>
    <row r="43">
      <c r="A43" s="11" t="n"/>
      <c r="B43" s="11" t="n"/>
      <c r="C43" s="11" t="n"/>
      <c r="D43" s="11" t="n"/>
      <c r="E43" s="11" t="n"/>
      <c r="F43" s="12" t="n"/>
      <c r="G43" s="13">
        <f>IF($F43="","",TODAY()-$F43)</f>
        <v/>
      </c>
      <c r="H43" s="13">
        <f>IF($F43="","",IF($M43&lt;&gt;"","Closed",IF($G43&gt;10,"RED &gt;10d",IF($G43&gt;5,"AMBER &gt;5d","OK"))))</f>
        <v/>
      </c>
      <c r="I43" s="12" t="n"/>
      <c r="J43" s="11" t="n"/>
      <c r="K43" s="11" t="n"/>
      <c r="L43" s="12" t="n"/>
      <c r="M43" s="11" t="n"/>
      <c r="N43" s="11" t="n"/>
      <c r="O43" s="11" t="n"/>
    </row>
    <row r="44">
      <c r="A44" s="11" t="n"/>
      <c r="B44" s="11" t="n"/>
      <c r="C44" s="11" t="n"/>
      <c r="D44" s="11" t="n"/>
      <c r="E44" s="11" t="n"/>
      <c r="F44" s="12" t="n"/>
      <c r="G44" s="13">
        <f>IF($F44="","",TODAY()-$F44)</f>
        <v/>
      </c>
      <c r="H44" s="13">
        <f>IF($F44="","",IF($M44&lt;&gt;"","Closed",IF($G44&gt;10,"RED &gt;10d",IF($G44&gt;5,"AMBER &gt;5d","OK"))))</f>
        <v/>
      </c>
      <c r="I44" s="12" t="n"/>
      <c r="J44" s="11" t="n"/>
      <c r="K44" s="11" t="n"/>
      <c r="L44" s="12" t="n"/>
      <c r="M44" s="11" t="n"/>
      <c r="N44" s="11" t="n"/>
      <c r="O44" s="11" t="n"/>
    </row>
    <row r="45">
      <c r="A45" s="11" t="n"/>
      <c r="B45" s="11" t="n"/>
      <c r="C45" s="11" t="n"/>
      <c r="D45" s="11" t="n"/>
      <c r="E45" s="11" t="n"/>
      <c r="F45" s="12" t="n"/>
      <c r="G45" s="13">
        <f>IF($F45="","",TODAY()-$F45)</f>
        <v/>
      </c>
      <c r="H45" s="13">
        <f>IF($F45="","",IF($M45&lt;&gt;"","Closed",IF($G45&gt;10,"RED &gt;10d",IF($G45&gt;5,"AMBER &gt;5d","OK"))))</f>
        <v/>
      </c>
      <c r="I45" s="12" t="n"/>
      <c r="J45" s="11" t="n"/>
      <c r="K45" s="11" t="n"/>
      <c r="L45" s="12" t="n"/>
      <c r="M45" s="11" t="n"/>
      <c r="N45" s="11" t="n"/>
      <c r="O45" s="11" t="n"/>
    </row>
    <row r="46">
      <c r="A46" s="11" t="n"/>
      <c r="B46" s="11" t="n"/>
      <c r="C46" s="11" t="n"/>
      <c r="D46" s="11" t="n"/>
      <c r="E46" s="11" t="n"/>
      <c r="F46" s="12" t="n"/>
      <c r="G46" s="13">
        <f>IF($F46="","",TODAY()-$F46)</f>
        <v/>
      </c>
      <c r="H46" s="13">
        <f>IF($F46="","",IF($M46&lt;&gt;"","Closed",IF($G46&gt;10,"RED &gt;10d",IF($G46&gt;5,"AMBER &gt;5d","OK"))))</f>
        <v/>
      </c>
      <c r="I46" s="12" t="n"/>
      <c r="J46" s="11" t="n"/>
      <c r="K46" s="11" t="n"/>
      <c r="L46" s="12" t="n"/>
      <c r="M46" s="11" t="n"/>
      <c r="N46" s="11" t="n"/>
      <c r="O46" s="11" t="n"/>
    </row>
    <row r="47">
      <c r="A47" s="11" t="n"/>
      <c r="B47" s="11" t="n"/>
      <c r="C47" s="11" t="n"/>
      <c r="D47" s="11" t="n"/>
      <c r="E47" s="11" t="n"/>
      <c r="F47" s="12" t="n"/>
      <c r="G47" s="13">
        <f>IF($F47="","",TODAY()-$F47)</f>
        <v/>
      </c>
      <c r="H47" s="13">
        <f>IF($F47="","",IF($M47&lt;&gt;"","Closed",IF($G47&gt;10,"RED &gt;10d",IF($G47&gt;5,"AMBER &gt;5d","OK"))))</f>
        <v/>
      </c>
      <c r="I47" s="12" t="n"/>
      <c r="J47" s="11" t="n"/>
      <c r="K47" s="11" t="n"/>
      <c r="L47" s="12" t="n"/>
      <c r="M47" s="11" t="n"/>
      <c r="N47" s="11" t="n"/>
      <c r="O47" s="11" t="n"/>
    </row>
    <row r="48">
      <c r="A48" s="11" t="n"/>
      <c r="B48" s="11" t="n"/>
      <c r="C48" s="11" t="n"/>
      <c r="D48" s="11" t="n"/>
      <c r="E48" s="11" t="n"/>
      <c r="F48" s="12" t="n"/>
      <c r="G48" s="13">
        <f>IF($F48="","",TODAY()-$F48)</f>
        <v/>
      </c>
      <c r="H48" s="13">
        <f>IF($F48="","",IF($M48&lt;&gt;"","Closed",IF($G48&gt;10,"RED &gt;10d",IF($G48&gt;5,"AMBER &gt;5d","OK"))))</f>
        <v/>
      </c>
      <c r="I48" s="12" t="n"/>
      <c r="J48" s="11" t="n"/>
      <c r="K48" s="11" t="n"/>
      <c r="L48" s="12" t="n"/>
      <c r="M48" s="11" t="n"/>
      <c r="N48" s="11" t="n"/>
      <c r="O48" s="11" t="n"/>
    </row>
    <row r="49">
      <c r="A49" s="11" t="n"/>
      <c r="B49" s="11" t="n"/>
      <c r="C49" s="11" t="n"/>
      <c r="D49" s="11" t="n"/>
      <c r="E49" s="11" t="n"/>
      <c r="F49" s="12" t="n"/>
      <c r="G49" s="13">
        <f>IF($F49="","",TODAY()-$F49)</f>
        <v/>
      </c>
      <c r="H49" s="13">
        <f>IF($F49="","",IF($M49&lt;&gt;"","Closed",IF($G49&gt;10,"RED &gt;10d",IF($G49&gt;5,"AMBER &gt;5d","OK"))))</f>
        <v/>
      </c>
      <c r="I49" s="12" t="n"/>
      <c r="J49" s="11" t="n"/>
      <c r="K49" s="11" t="n"/>
      <c r="L49" s="12" t="n"/>
      <c r="M49" s="11" t="n"/>
      <c r="N49" s="11" t="n"/>
      <c r="O49" s="11" t="n"/>
    </row>
    <row r="50">
      <c r="A50" s="11" t="n"/>
      <c r="B50" s="11" t="n"/>
      <c r="C50" s="11" t="n"/>
      <c r="D50" s="11" t="n"/>
      <c r="E50" s="11" t="n"/>
      <c r="F50" s="12" t="n"/>
      <c r="G50" s="13">
        <f>IF($F50="","",TODAY()-$F50)</f>
        <v/>
      </c>
      <c r="H50" s="13">
        <f>IF($F50="","",IF($M50&lt;&gt;"","Closed",IF($G50&gt;10,"RED &gt;10d",IF($G50&gt;5,"AMBER &gt;5d","OK"))))</f>
        <v/>
      </c>
      <c r="I50" s="12" t="n"/>
      <c r="J50" s="11" t="n"/>
      <c r="K50" s="11" t="n"/>
      <c r="L50" s="12" t="n"/>
      <c r="M50" s="11" t="n"/>
      <c r="N50" s="11" t="n"/>
      <c r="O50" s="11" t="n"/>
    </row>
    <row r="51">
      <c r="A51" s="11" t="n"/>
      <c r="B51" s="11" t="n"/>
      <c r="C51" s="11" t="n"/>
      <c r="D51" s="11" t="n"/>
      <c r="E51" s="11" t="n"/>
      <c r="F51" s="12" t="n"/>
      <c r="G51" s="13">
        <f>IF($F51="","",TODAY()-$F51)</f>
        <v/>
      </c>
      <c r="H51" s="13">
        <f>IF($F51="","",IF($M51&lt;&gt;"","Closed",IF($G51&gt;10,"RED &gt;10d",IF($G51&gt;5,"AMBER &gt;5d","OK"))))</f>
        <v/>
      </c>
      <c r="I51" s="12" t="n"/>
      <c r="J51" s="11" t="n"/>
      <c r="K51" s="11" t="n"/>
      <c r="L51" s="12" t="n"/>
      <c r="M51" s="11" t="n"/>
      <c r="N51" s="11" t="n"/>
      <c r="O51" s="11" t="n"/>
    </row>
    <row r="52">
      <c r="A52" s="11" t="n"/>
      <c r="B52" s="11" t="n"/>
      <c r="C52" s="11" t="n"/>
      <c r="D52" s="11" t="n"/>
      <c r="E52" s="11" t="n"/>
      <c r="F52" s="12" t="n"/>
      <c r="G52" s="13">
        <f>IF($F52="","",TODAY()-$F52)</f>
        <v/>
      </c>
      <c r="H52" s="13">
        <f>IF($F52="","",IF($M52&lt;&gt;"","Closed",IF($G52&gt;10,"RED &gt;10d",IF($G52&gt;5,"AMBER &gt;5d","OK"))))</f>
        <v/>
      </c>
      <c r="I52" s="12" t="n"/>
      <c r="J52" s="11" t="n"/>
      <c r="K52" s="11" t="n"/>
      <c r="L52" s="12" t="n"/>
      <c r="M52" s="11" t="n"/>
      <c r="N52" s="11" t="n"/>
      <c r="O52" s="11" t="n"/>
    </row>
    <row r="53">
      <c r="A53" s="11" t="n"/>
      <c r="B53" s="11" t="n"/>
      <c r="C53" s="11" t="n"/>
      <c r="D53" s="11" t="n"/>
      <c r="E53" s="11" t="n"/>
      <c r="F53" s="12" t="n"/>
      <c r="G53" s="13">
        <f>IF($F53="","",TODAY()-$F53)</f>
        <v/>
      </c>
      <c r="H53" s="13">
        <f>IF($F53="","",IF($M53&lt;&gt;"","Closed",IF($G53&gt;10,"RED &gt;10d",IF($G53&gt;5,"AMBER &gt;5d","OK"))))</f>
        <v/>
      </c>
      <c r="I53" s="12" t="n"/>
      <c r="J53" s="11" t="n"/>
      <c r="K53" s="11" t="n"/>
      <c r="L53" s="12" t="n"/>
      <c r="M53" s="11" t="n"/>
      <c r="N53" s="11" t="n"/>
      <c r="O53" s="11" t="n"/>
    </row>
    <row r="54">
      <c r="A54" s="11" t="n"/>
      <c r="B54" s="11" t="n"/>
      <c r="C54" s="11" t="n"/>
      <c r="D54" s="11" t="n"/>
      <c r="E54" s="11" t="n"/>
      <c r="F54" s="12" t="n"/>
      <c r="G54" s="13">
        <f>IF($F54="","",TODAY()-$F54)</f>
        <v/>
      </c>
      <c r="H54" s="13">
        <f>IF($F54="","",IF($M54&lt;&gt;"","Closed",IF($G54&gt;10,"RED &gt;10d",IF($G54&gt;5,"AMBER &gt;5d","OK"))))</f>
        <v/>
      </c>
      <c r="I54" s="12" t="n"/>
      <c r="J54" s="11" t="n"/>
      <c r="K54" s="11" t="n"/>
      <c r="L54" s="12" t="n"/>
      <c r="M54" s="11" t="n"/>
      <c r="N54" s="11" t="n"/>
      <c r="O54" s="11" t="n"/>
    </row>
    <row r="55">
      <c r="A55" s="11" t="n"/>
      <c r="B55" s="11" t="n"/>
      <c r="C55" s="11" t="n"/>
      <c r="D55" s="11" t="n"/>
      <c r="E55" s="11" t="n"/>
      <c r="F55" s="12" t="n"/>
      <c r="G55" s="13">
        <f>IF($F55="","",TODAY()-$F55)</f>
        <v/>
      </c>
      <c r="H55" s="13">
        <f>IF($F55="","",IF($M55&lt;&gt;"","Closed",IF($G55&gt;10,"RED &gt;10d",IF($G55&gt;5,"AMBER &gt;5d","OK"))))</f>
        <v/>
      </c>
      <c r="I55" s="12" t="n"/>
      <c r="J55" s="11" t="n"/>
      <c r="K55" s="11" t="n"/>
      <c r="L55" s="12" t="n"/>
      <c r="M55" s="11" t="n"/>
      <c r="N55" s="11" t="n"/>
      <c r="O55" s="11" t="n"/>
    </row>
    <row r="56">
      <c r="A56" s="11" t="n"/>
      <c r="B56" s="11" t="n"/>
      <c r="C56" s="11" t="n"/>
      <c r="D56" s="11" t="n"/>
      <c r="E56" s="11" t="n"/>
      <c r="F56" s="12" t="n"/>
      <c r="G56" s="13">
        <f>IF($F56="","",TODAY()-$F56)</f>
        <v/>
      </c>
      <c r="H56" s="13">
        <f>IF($F56="","",IF($M56&lt;&gt;"","Closed",IF($G56&gt;10,"RED &gt;10d",IF($G56&gt;5,"AMBER &gt;5d","OK"))))</f>
        <v/>
      </c>
      <c r="I56" s="12" t="n"/>
      <c r="J56" s="11" t="n"/>
      <c r="K56" s="11" t="n"/>
      <c r="L56" s="12" t="n"/>
      <c r="M56" s="11" t="n"/>
      <c r="N56" s="11" t="n"/>
      <c r="O56" s="11" t="n"/>
    </row>
    <row r="57">
      <c r="A57" s="11" t="n"/>
      <c r="B57" s="11" t="n"/>
      <c r="C57" s="11" t="n"/>
      <c r="D57" s="11" t="n"/>
      <c r="E57" s="11" t="n"/>
      <c r="F57" s="12" t="n"/>
      <c r="G57" s="13">
        <f>IF($F57="","",TODAY()-$F57)</f>
        <v/>
      </c>
      <c r="H57" s="13">
        <f>IF($F57="","",IF($M57&lt;&gt;"","Closed",IF($G57&gt;10,"RED &gt;10d",IF($G57&gt;5,"AMBER &gt;5d","OK"))))</f>
        <v/>
      </c>
      <c r="I57" s="12" t="n"/>
      <c r="J57" s="11" t="n"/>
      <c r="K57" s="11" t="n"/>
      <c r="L57" s="12" t="n"/>
      <c r="M57" s="11" t="n"/>
      <c r="N57" s="11" t="n"/>
      <c r="O57" s="11" t="n"/>
    </row>
    <row r="58">
      <c r="A58" s="11" t="n"/>
      <c r="B58" s="11" t="n"/>
      <c r="C58" s="11" t="n"/>
      <c r="D58" s="11" t="n"/>
      <c r="E58" s="11" t="n"/>
      <c r="F58" s="12" t="n"/>
      <c r="G58" s="13">
        <f>IF($F58="","",TODAY()-$F58)</f>
        <v/>
      </c>
      <c r="H58" s="13">
        <f>IF($F58="","",IF($M58&lt;&gt;"","Closed",IF($G58&gt;10,"RED &gt;10d",IF($G58&gt;5,"AMBER &gt;5d","OK"))))</f>
        <v/>
      </c>
      <c r="I58" s="12" t="n"/>
      <c r="J58" s="11" t="n"/>
      <c r="K58" s="11" t="n"/>
      <c r="L58" s="12" t="n"/>
      <c r="M58" s="11" t="n"/>
      <c r="N58" s="11" t="n"/>
      <c r="O58" s="11" t="n"/>
    </row>
    <row r="59">
      <c r="A59" s="11" t="n"/>
      <c r="B59" s="11" t="n"/>
      <c r="C59" s="11" t="n"/>
      <c r="D59" s="11" t="n"/>
      <c r="E59" s="11" t="n"/>
      <c r="F59" s="12" t="n"/>
      <c r="G59" s="13">
        <f>IF($F59="","",TODAY()-$F59)</f>
        <v/>
      </c>
      <c r="H59" s="13">
        <f>IF($F59="","",IF($M59&lt;&gt;"","Closed",IF($G59&gt;10,"RED &gt;10d",IF($G59&gt;5,"AMBER &gt;5d","OK"))))</f>
        <v/>
      </c>
      <c r="I59" s="12" t="n"/>
      <c r="J59" s="11" t="n"/>
      <c r="K59" s="11" t="n"/>
      <c r="L59" s="12" t="n"/>
      <c r="M59" s="11" t="n"/>
      <c r="N59" s="11" t="n"/>
      <c r="O59" s="11" t="n"/>
    </row>
    <row r="60">
      <c r="A60" s="11" t="n"/>
      <c r="B60" s="11" t="n"/>
      <c r="C60" s="11" t="n"/>
      <c r="D60" s="11" t="n"/>
      <c r="E60" s="11" t="n"/>
      <c r="F60" s="12" t="n"/>
      <c r="G60" s="13">
        <f>IF($F60="","",TODAY()-$F60)</f>
        <v/>
      </c>
      <c r="H60" s="13">
        <f>IF($F60="","",IF($M60&lt;&gt;"","Closed",IF($G60&gt;10,"RED &gt;10d",IF($G60&gt;5,"AMBER &gt;5d","OK"))))</f>
        <v/>
      </c>
      <c r="I60" s="12" t="n"/>
      <c r="J60" s="11" t="n"/>
      <c r="K60" s="11" t="n"/>
      <c r="L60" s="12" t="n"/>
      <c r="M60" s="11" t="n"/>
      <c r="N60" s="11" t="n"/>
      <c r="O60" s="11" t="n"/>
    </row>
    <row r="61">
      <c r="A61" s="11" t="n"/>
      <c r="B61" s="11" t="n"/>
      <c r="C61" s="11" t="n"/>
      <c r="D61" s="11" t="n"/>
      <c r="E61" s="11" t="n"/>
      <c r="F61" s="12" t="n"/>
      <c r="G61" s="13">
        <f>IF($F61="","",TODAY()-$F61)</f>
        <v/>
      </c>
      <c r="H61" s="13">
        <f>IF($F61="","",IF($M61&lt;&gt;"","Closed",IF($G61&gt;10,"RED &gt;10d",IF($G61&gt;5,"AMBER &gt;5d","OK"))))</f>
        <v/>
      </c>
      <c r="I61" s="12" t="n"/>
      <c r="J61" s="11" t="n"/>
      <c r="K61" s="11" t="n"/>
      <c r="L61" s="12" t="n"/>
      <c r="M61" s="11" t="n"/>
      <c r="N61" s="11" t="n"/>
      <c r="O61" s="11" t="n"/>
    </row>
    <row r="62">
      <c r="A62" s="11" t="n"/>
      <c r="B62" s="11" t="n"/>
      <c r="C62" s="11" t="n"/>
      <c r="D62" s="11" t="n"/>
      <c r="E62" s="11" t="n"/>
      <c r="F62" s="12" t="n"/>
      <c r="G62" s="13">
        <f>IF($F62="","",TODAY()-$F62)</f>
        <v/>
      </c>
      <c r="H62" s="13">
        <f>IF($F62="","",IF($M62&lt;&gt;"","Closed",IF($G62&gt;10,"RED &gt;10d",IF($G62&gt;5,"AMBER &gt;5d","OK"))))</f>
        <v/>
      </c>
      <c r="I62" s="12" t="n"/>
      <c r="J62" s="11" t="n"/>
      <c r="K62" s="11" t="n"/>
      <c r="L62" s="12" t="n"/>
      <c r="M62" s="11" t="n"/>
      <c r="N62" s="11" t="n"/>
      <c r="O62" s="11" t="n"/>
    </row>
    <row r="63">
      <c r="A63" s="11" t="n"/>
      <c r="B63" s="11" t="n"/>
      <c r="C63" s="11" t="n"/>
      <c r="D63" s="11" t="n"/>
      <c r="E63" s="11" t="n"/>
      <c r="F63" s="12" t="n"/>
      <c r="G63" s="13">
        <f>IF($F63="","",TODAY()-$F63)</f>
        <v/>
      </c>
      <c r="H63" s="13">
        <f>IF($F63="","",IF($M63&lt;&gt;"","Closed",IF($G63&gt;10,"RED &gt;10d",IF($G63&gt;5,"AMBER &gt;5d","OK"))))</f>
        <v/>
      </c>
      <c r="I63" s="12" t="n"/>
      <c r="J63" s="11" t="n"/>
      <c r="K63" s="11" t="n"/>
      <c r="L63" s="12" t="n"/>
      <c r="M63" s="11" t="n"/>
      <c r="N63" s="11" t="n"/>
      <c r="O63" s="11" t="n"/>
    </row>
    <row r="64">
      <c r="A64" s="11" t="n"/>
      <c r="B64" s="11" t="n"/>
      <c r="C64" s="11" t="n"/>
      <c r="D64" s="11" t="n"/>
      <c r="E64" s="11" t="n"/>
      <c r="F64" s="12" t="n"/>
      <c r="G64" s="13">
        <f>IF($F64="","",TODAY()-$F64)</f>
        <v/>
      </c>
      <c r="H64" s="13">
        <f>IF($F64="","",IF($M64&lt;&gt;"","Closed",IF($G64&gt;10,"RED &gt;10d",IF($G64&gt;5,"AMBER &gt;5d","OK"))))</f>
        <v/>
      </c>
      <c r="I64" s="12" t="n"/>
      <c r="J64" s="11" t="n"/>
      <c r="K64" s="11" t="n"/>
      <c r="L64" s="12" t="n"/>
      <c r="M64" s="11" t="n"/>
      <c r="N64" s="11" t="n"/>
      <c r="O64" s="11" t="n"/>
    </row>
  </sheetData>
  <autoFilter ref="A4:O4"/>
  <dataValidations count="2">
    <dataValidation sqref="E5:E64" showDropDown="0" showInputMessage="0" showErrorMessage="0" allowBlank="1" type="list">
      <formula1>"New Application,Resume Screen,Phone Screen,Hiring Mgr Interview,Onsite Loop,Debrief,Offer,Hired"</formula1>
    </dataValidation>
    <dataValidation sqref="N5:N64" showDropDown="0" showInputMessage="0" showErrorMessage="0" allowBlank="1" type="list">
      <formula1>"Hired,Declined - qualifications,Declined - experience depth,Declined - availability/shift,Declined - assessment score,Withdrew,No response,Offer declined,Hold - future req"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20" customWidth="1" min="4" max="4"/>
    <col width="28" customWidth="1" min="5" max="5"/>
    <col width="12" customWidth="1" min="6" max="6"/>
    <col width="60" customWidth="1" min="7" max="7"/>
    <col width="26" customWidth="1" min="8" max="8"/>
    <col width="58" customWidth="1" min="10" max="10"/>
  </cols>
  <sheetData>
    <row r="1">
      <c r="A1" s="6" t="inlineStr">
        <is>
          <t>PHASE 2 — STRUCTURED INTERVIEW SCORECARD</t>
        </is>
      </c>
    </row>
    <row r="2">
      <c r="A2" s="2" t="inlineStr">
        <is>
          <t>One row per competency per interviewer. A rating with no written evidence is not a valid rating.</t>
        </is>
      </c>
    </row>
    <row r="4" ht="30" customHeight="1">
      <c r="A4" s="7" t="inlineStr">
        <is>
          <t>Candidate</t>
        </is>
      </c>
      <c r="B4" s="7" t="inlineStr">
        <is>
          <t>Req ID</t>
        </is>
      </c>
      <c r="C4" s="7" t="inlineStr">
        <is>
          <t>Stage</t>
        </is>
      </c>
      <c r="D4" s="7" t="inlineStr">
        <is>
          <t>Interviewer</t>
        </is>
      </c>
      <c r="E4" s="7" t="inlineStr">
        <is>
          <t>Competency</t>
        </is>
      </c>
      <c r="F4" s="7" t="inlineStr">
        <is>
          <t>Rating (1-4)</t>
        </is>
      </c>
      <c r="G4" s="7" t="inlineStr">
        <is>
          <t>Behavioral Evidence (required)</t>
        </is>
      </c>
      <c r="H4" s="7" t="inlineStr">
        <is>
          <t>Follow-up Needed</t>
        </is>
      </c>
      <c r="J4" s="14" t="inlineStr">
        <is>
          <t>RATING SCALE</t>
        </is>
      </c>
    </row>
    <row r="5">
      <c r="A5" s="8" t="inlineStr">
        <is>
          <t>J. Okafor</t>
        </is>
      </c>
      <c r="B5" s="8" t="inlineStr">
        <is>
          <t>REQ-1041</t>
        </is>
      </c>
      <c r="C5" s="8" t="inlineStr">
        <is>
          <t>Onsite Loop</t>
        </is>
      </c>
      <c r="D5" s="8" t="inlineStr">
        <is>
          <t>M. Chen</t>
        </is>
      </c>
      <c r="E5" s="8" t="inlineStr">
        <is>
          <t>Safety leadership</t>
        </is>
      </c>
      <c r="F5" s="8" t="n">
        <v>3</v>
      </c>
      <c r="G5" s="8" t="inlineStr">
        <is>
          <t>Ran daily pre-shift safety huddles; cut recordables from 6 to 2 over 12 months. Named the specific controls.</t>
        </is>
      </c>
      <c r="H5" s="8" t="inlineStr">
        <is>
          <t>Probe on incident investigation ownership</t>
        </is>
      </c>
      <c r="J5" s="15" t="inlineStr">
        <is>
          <t>4 — Strong evidence, exceeds the bar for the level</t>
        </is>
      </c>
    </row>
    <row r="6">
      <c r="A6" s="8" t="inlineStr">
        <is>
          <t>J. Okafor</t>
        </is>
      </c>
      <c r="B6" s="8" t="inlineStr">
        <is>
          <t>REQ-1041</t>
        </is>
      </c>
      <c r="C6" s="8" t="inlineStr">
        <is>
          <t>Onsite Loop</t>
        </is>
      </c>
      <c r="D6" s="8" t="inlineStr">
        <is>
          <t>M. Chen</t>
        </is>
      </c>
      <c r="E6" s="8" t="inlineStr">
        <is>
          <t>Throughput / WMS fluency</t>
        </is>
      </c>
      <c r="F6" s="8" t="n">
        <v>2</v>
      </c>
      <c r="G6" s="8" t="inlineStr">
        <is>
          <t>Familiar with Manhattan WMS reporting but has not owned labor-standard setting.</t>
        </is>
      </c>
      <c r="H6" s="8" t="inlineStr">
        <is>
          <t>Confirm scope with prior manager reference</t>
        </is>
      </c>
      <c r="J6" s="15" t="inlineStr">
        <is>
          <t>3 — Meets the bar; evidence is concrete and job-related</t>
        </is>
      </c>
    </row>
    <row r="7">
      <c r="A7" s="16" t="inlineStr">
        <is>
          <t>EXAMPLE BLOCK ABOVE — delete before use</t>
        </is>
      </c>
      <c r="J7" s="15" t="inlineStr">
        <is>
          <t>2 — Partial evidence or gap against a documented must-have</t>
        </is>
      </c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J8" s="15" t="inlineStr">
        <is>
          <t>1 — No evidence, or evidence contradicts the requirement</t>
        </is>
      </c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J9" s="15" t="inlineStr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J10" s="15" t="inlineStr">
        <is>
          <t>Rate against the job description only. 'Culture fit' is not a competency —</t>
        </is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J11" s="15" t="inlineStr">
        <is>
          <t>restate it as a named, observable working-style requirement or drop it.</t>
        </is>
      </c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</sheetData>
  <autoFilter ref="A4:H4"/>
  <dataValidations count="1">
    <dataValidation sqref="F5:F60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7" customWidth="1" min="4" max="4"/>
    <col width="14" customWidth="1" min="5" max="5"/>
    <col width="14" customWidth="1" min="6" max="6"/>
    <col width="16" customWidth="1" min="7" max="7"/>
    <col width="16" customWidth="1" min="8" max="8"/>
    <col width="19" customWidth="1" min="9" max="9"/>
    <col width="14" customWidth="1" min="10" max="10"/>
    <col width="12" customWidth="1" min="11" max="11"/>
    <col width="17" customWidth="1" min="12" max="12"/>
    <col width="16" customWidth="1" min="13" max="13"/>
    <col width="30" customWidth="1" min="14" max="14"/>
  </cols>
  <sheetData>
    <row r="1">
      <c r="A1" s="6" t="inlineStr">
        <is>
          <t>PHASE 3 — OFFER TRACKER</t>
        </is>
      </c>
    </row>
    <row r="2">
      <c r="A2" s="2" t="inlineStr">
        <is>
          <t>Offer amounts live on the Restricted tab. Background checks run only after a conditional offer.</t>
        </is>
      </c>
    </row>
    <row r="4" ht="30" customHeight="1">
      <c r="A4" s="7" t="inlineStr">
        <is>
          <t>Candidate</t>
        </is>
      </c>
      <c r="B4" s="7" t="inlineStr">
        <is>
          <t>Req ID</t>
        </is>
      </c>
      <c r="C4" s="7" t="inlineStr">
        <is>
          <t>Offer Sent</t>
        </is>
      </c>
      <c r="D4" s="7" t="inlineStr">
        <is>
          <t>Acceptance Deadline</t>
        </is>
      </c>
      <c r="E4" s="7" t="inlineStr">
        <is>
          <t>Days to Deadline</t>
        </is>
      </c>
      <c r="F4" s="7" t="inlineStr">
        <is>
          <t>Deadline Flag</t>
        </is>
      </c>
      <c r="G4" s="7" t="inlineStr">
        <is>
          <t>Status</t>
        </is>
      </c>
      <c r="H4" s="7" t="inlineStr">
        <is>
          <t>Background Check</t>
        </is>
      </c>
      <c r="I4" s="7" t="inlineStr">
        <is>
          <t>Right-to-Work Scheduled</t>
        </is>
      </c>
      <c r="J4" s="7" t="inlineStr">
        <is>
          <t>References</t>
        </is>
      </c>
      <c r="K4" s="7" t="inlineStr">
        <is>
          <t>Start Date</t>
        </is>
      </c>
      <c r="L4" s="7" t="inlineStr">
        <is>
          <t>Onboarding Triggered</t>
        </is>
      </c>
      <c r="M4" s="7" t="inlineStr">
        <is>
          <t>Approver</t>
        </is>
      </c>
      <c r="N4" s="7" t="inlineStr">
        <is>
          <t>Notes</t>
        </is>
      </c>
    </row>
    <row r="5">
      <c r="A5" s="8" t="inlineStr">
        <is>
          <t>J. Okafor</t>
        </is>
      </c>
      <c r="B5" s="8" t="inlineStr">
        <is>
          <t>REQ-1041</t>
        </is>
      </c>
      <c r="C5" s="9" t="n">
        <v>46248</v>
      </c>
      <c r="D5" s="9" t="n">
        <v>46253</v>
      </c>
      <c r="E5" s="10">
        <f>IF($D5="","",$D5-TODAY())</f>
        <v/>
      </c>
      <c r="F5" s="10">
        <f>IF($D5="","",IF($G5="Accepted","Closed",IF($E5&lt;0,"EXPIRED",IF($E5&lt;=1,"FOLLOW UP TODAY","OK"))))</f>
        <v/>
      </c>
      <c r="G5" s="8" t="inlineStr">
        <is>
          <t>Extended</t>
        </is>
      </c>
      <c r="H5" s="8" t="inlineStr">
        <is>
          <t>Pending</t>
        </is>
      </c>
      <c r="I5" s="8" t="inlineStr">
        <is>
          <t>Scheduled day 1</t>
        </is>
      </c>
      <c r="J5" s="8" t="inlineStr">
        <is>
          <t>Cleared</t>
        </is>
      </c>
      <c r="K5" s="9" t="n">
        <v>46279</v>
      </c>
      <c r="L5" s="8" t="inlineStr">
        <is>
          <t>No</t>
        </is>
      </c>
      <c r="M5" s="8" t="inlineStr">
        <is>
          <t>A. Reyes</t>
        </is>
      </c>
      <c r="N5" s="8" t="inlineStr">
        <is>
          <t>EXAMPLE ROW — delete before use</t>
        </is>
      </c>
    </row>
    <row r="6">
      <c r="A6" s="11" t="n"/>
      <c r="B6" s="11" t="n"/>
      <c r="C6" s="12" t="n"/>
      <c r="D6" s="12" t="n"/>
      <c r="E6" s="13">
        <f>IF($D6="","",$D6-TODAY())</f>
        <v/>
      </c>
      <c r="F6" s="13">
        <f>IF($D6="","",IF($G6="Accepted","Closed",IF($E6&lt;0,"EXPIRED",IF($E6&lt;=1,"FOLLOW UP TODAY","OK"))))</f>
        <v/>
      </c>
      <c r="G6" s="11" t="n"/>
      <c r="H6" s="11" t="n"/>
      <c r="I6" s="11" t="n"/>
      <c r="J6" s="11" t="n"/>
      <c r="K6" s="12" t="n"/>
      <c r="L6" s="11" t="n"/>
      <c r="M6" s="11" t="n"/>
      <c r="N6" s="11" t="n"/>
    </row>
    <row r="7">
      <c r="A7" s="11" t="n"/>
      <c r="B7" s="11" t="n"/>
      <c r="C7" s="12" t="n"/>
      <c r="D7" s="12" t="n"/>
      <c r="E7" s="13">
        <f>IF($D7="","",$D7-TODAY())</f>
        <v/>
      </c>
      <c r="F7" s="13">
        <f>IF($D7="","",IF($G7="Accepted","Closed",IF($E7&lt;0,"EXPIRED",IF($E7&lt;=1,"FOLLOW UP TODAY","OK"))))</f>
        <v/>
      </c>
      <c r="G7" s="11" t="n"/>
      <c r="H7" s="11" t="n"/>
      <c r="I7" s="11" t="n"/>
      <c r="J7" s="11" t="n"/>
      <c r="K7" s="12" t="n"/>
      <c r="L7" s="11" t="n"/>
      <c r="M7" s="11" t="n"/>
      <c r="N7" s="11" t="n"/>
    </row>
    <row r="8">
      <c r="A8" s="11" t="n"/>
      <c r="B8" s="11" t="n"/>
      <c r="C8" s="12" t="n"/>
      <c r="D8" s="12" t="n"/>
      <c r="E8" s="13">
        <f>IF($D8="","",$D8-TODAY())</f>
        <v/>
      </c>
      <c r="F8" s="13">
        <f>IF($D8="","",IF($G8="Accepted","Closed",IF($E8&lt;0,"EXPIRED",IF($E8&lt;=1,"FOLLOW UP TODAY","OK"))))</f>
        <v/>
      </c>
      <c r="G8" s="11" t="n"/>
      <c r="H8" s="11" t="n"/>
      <c r="I8" s="11" t="n"/>
      <c r="J8" s="11" t="n"/>
      <c r="K8" s="12" t="n"/>
      <c r="L8" s="11" t="n"/>
      <c r="M8" s="11" t="n"/>
      <c r="N8" s="11" t="n"/>
    </row>
    <row r="9">
      <c r="A9" s="11" t="n"/>
      <c r="B9" s="11" t="n"/>
      <c r="C9" s="12" t="n"/>
      <c r="D9" s="12" t="n"/>
      <c r="E9" s="13">
        <f>IF($D9="","",$D9-TODAY())</f>
        <v/>
      </c>
      <c r="F9" s="13">
        <f>IF($D9="","",IF($G9="Accepted","Closed",IF($E9&lt;0,"EXPIRED",IF($E9&lt;=1,"FOLLOW UP TODAY","OK"))))</f>
        <v/>
      </c>
      <c r="G9" s="11" t="n"/>
      <c r="H9" s="11" t="n"/>
      <c r="I9" s="11" t="n"/>
      <c r="J9" s="11" t="n"/>
      <c r="K9" s="12" t="n"/>
      <c r="L9" s="11" t="n"/>
      <c r="M9" s="11" t="n"/>
      <c r="N9" s="11" t="n"/>
    </row>
    <row r="10">
      <c r="A10" s="11" t="n"/>
      <c r="B10" s="11" t="n"/>
      <c r="C10" s="12" t="n"/>
      <c r="D10" s="12" t="n"/>
      <c r="E10" s="13">
        <f>IF($D10="","",$D10-TODAY())</f>
        <v/>
      </c>
      <c r="F10" s="13">
        <f>IF($D10="","",IF($G10="Accepted","Closed",IF($E10&lt;0,"EXPIRED",IF($E10&lt;=1,"FOLLOW UP TODAY","OK"))))</f>
        <v/>
      </c>
      <c r="G10" s="11" t="n"/>
      <c r="H10" s="11" t="n"/>
      <c r="I10" s="11" t="n"/>
      <c r="J10" s="11" t="n"/>
      <c r="K10" s="12" t="n"/>
      <c r="L10" s="11" t="n"/>
      <c r="M10" s="11" t="n"/>
      <c r="N10" s="11" t="n"/>
    </row>
    <row r="11">
      <c r="A11" s="11" t="n"/>
      <c r="B11" s="11" t="n"/>
      <c r="C11" s="12" t="n"/>
      <c r="D11" s="12" t="n"/>
      <c r="E11" s="13">
        <f>IF($D11="","",$D11-TODAY())</f>
        <v/>
      </c>
      <c r="F11" s="13">
        <f>IF($D11="","",IF($G11="Accepted","Closed",IF($E11&lt;0,"EXPIRED",IF($E11&lt;=1,"FOLLOW UP TODAY","OK"))))</f>
        <v/>
      </c>
      <c r="G11" s="11" t="n"/>
      <c r="H11" s="11" t="n"/>
      <c r="I11" s="11" t="n"/>
      <c r="J11" s="11" t="n"/>
      <c r="K11" s="12" t="n"/>
      <c r="L11" s="11" t="n"/>
      <c r="M11" s="11" t="n"/>
      <c r="N11" s="11" t="n"/>
    </row>
    <row r="12">
      <c r="A12" s="11" t="n"/>
      <c r="B12" s="11" t="n"/>
      <c r="C12" s="12" t="n"/>
      <c r="D12" s="12" t="n"/>
      <c r="E12" s="13">
        <f>IF($D12="","",$D12-TODAY())</f>
        <v/>
      </c>
      <c r="F12" s="13">
        <f>IF($D12="","",IF($G12="Accepted","Closed",IF($E12&lt;0,"EXPIRED",IF($E12&lt;=1,"FOLLOW UP TODAY","OK"))))</f>
        <v/>
      </c>
      <c r="G12" s="11" t="n"/>
      <c r="H12" s="11" t="n"/>
      <c r="I12" s="11" t="n"/>
      <c r="J12" s="11" t="n"/>
      <c r="K12" s="12" t="n"/>
      <c r="L12" s="11" t="n"/>
      <c r="M12" s="11" t="n"/>
      <c r="N12" s="11" t="n"/>
    </row>
    <row r="13">
      <c r="A13" s="11" t="n"/>
      <c r="B13" s="11" t="n"/>
      <c r="C13" s="12" t="n"/>
      <c r="D13" s="12" t="n"/>
      <c r="E13" s="13">
        <f>IF($D13="","",$D13-TODAY())</f>
        <v/>
      </c>
      <c r="F13" s="13">
        <f>IF($D13="","",IF($G13="Accepted","Closed",IF($E13&lt;0,"EXPIRED",IF($E13&lt;=1,"FOLLOW UP TODAY","OK"))))</f>
        <v/>
      </c>
      <c r="G13" s="11" t="n"/>
      <c r="H13" s="11" t="n"/>
      <c r="I13" s="11" t="n"/>
      <c r="J13" s="11" t="n"/>
      <c r="K13" s="12" t="n"/>
      <c r="L13" s="11" t="n"/>
      <c r="M13" s="11" t="n"/>
      <c r="N13" s="11" t="n"/>
    </row>
    <row r="14">
      <c r="A14" s="11" t="n"/>
      <c r="B14" s="11" t="n"/>
      <c r="C14" s="12" t="n"/>
      <c r="D14" s="12" t="n"/>
      <c r="E14" s="13">
        <f>IF($D14="","",$D14-TODAY())</f>
        <v/>
      </c>
      <c r="F14" s="13">
        <f>IF($D14="","",IF($G14="Accepted","Closed",IF($E14&lt;0,"EXPIRED",IF($E14&lt;=1,"FOLLOW UP TODAY","OK"))))</f>
        <v/>
      </c>
      <c r="G14" s="11" t="n"/>
      <c r="H14" s="11" t="n"/>
      <c r="I14" s="11" t="n"/>
      <c r="J14" s="11" t="n"/>
      <c r="K14" s="12" t="n"/>
      <c r="L14" s="11" t="n"/>
      <c r="M14" s="11" t="n"/>
      <c r="N14" s="11" t="n"/>
    </row>
    <row r="15">
      <c r="A15" s="11" t="n"/>
      <c r="B15" s="11" t="n"/>
      <c r="C15" s="12" t="n"/>
      <c r="D15" s="12" t="n"/>
      <c r="E15" s="13">
        <f>IF($D15="","",$D15-TODAY())</f>
        <v/>
      </c>
      <c r="F15" s="13">
        <f>IF($D15="","",IF($G15="Accepted","Closed",IF($E15&lt;0,"EXPIRED",IF($E15&lt;=1,"FOLLOW UP TODAY","OK"))))</f>
        <v/>
      </c>
      <c r="G15" s="11" t="n"/>
      <c r="H15" s="11" t="n"/>
      <c r="I15" s="11" t="n"/>
      <c r="J15" s="11" t="n"/>
      <c r="K15" s="12" t="n"/>
      <c r="L15" s="11" t="n"/>
      <c r="M15" s="11" t="n"/>
      <c r="N15" s="11" t="n"/>
    </row>
    <row r="16">
      <c r="A16" s="11" t="n"/>
      <c r="B16" s="11" t="n"/>
      <c r="C16" s="12" t="n"/>
      <c r="D16" s="12" t="n"/>
      <c r="E16" s="13">
        <f>IF($D16="","",$D16-TODAY())</f>
        <v/>
      </c>
      <c r="F16" s="13">
        <f>IF($D16="","",IF($G16="Accepted","Closed",IF($E16&lt;0,"EXPIRED",IF($E16&lt;=1,"FOLLOW UP TODAY","OK"))))</f>
        <v/>
      </c>
      <c r="G16" s="11" t="n"/>
      <c r="H16" s="11" t="n"/>
      <c r="I16" s="11" t="n"/>
      <c r="J16" s="11" t="n"/>
      <c r="K16" s="12" t="n"/>
      <c r="L16" s="11" t="n"/>
      <c r="M16" s="11" t="n"/>
      <c r="N16" s="11" t="n"/>
    </row>
    <row r="17">
      <c r="A17" s="11" t="n"/>
      <c r="B17" s="11" t="n"/>
      <c r="C17" s="12" t="n"/>
      <c r="D17" s="12" t="n"/>
      <c r="E17" s="13">
        <f>IF($D17="","",$D17-TODAY())</f>
        <v/>
      </c>
      <c r="F17" s="13">
        <f>IF($D17="","",IF($G17="Accepted","Closed",IF($E17&lt;0,"EXPIRED",IF($E17&lt;=1,"FOLLOW UP TODAY","OK"))))</f>
        <v/>
      </c>
      <c r="G17" s="11" t="n"/>
      <c r="H17" s="11" t="n"/>
      <c r="I17" s="11" t="n"/>
      <c r="J17" s="11" t="n"/>
      <c r="K17" s="12" t="n"/>
      <c r="L17" s="11" t="n"/>
      <c r="M17" s="11" t="n"/>
      <c r="N17" s="11" t="n"/>
    </row>
    <row r="18">
      <c r="A18" s="11" t="n"/>
      <c r="B18" s="11" t="n"/>
      <c r="C18" s="12" t="n"/>
      <c r="D18" s="12" t="n"/>
      <c r="E18" s="13">
        <f>IF($D18="","",$D18-TODAY())</f>
        <v/>
      </c>
      <c r="F18" s="13">
        <f>IF($D18="","",IF($G18="Accepted","Closed",IF($E18&lt;0,"EXPIRED",IF($E18&lt;=1,"FOLLOW UP TODAY","OK"))))</f>
        <v/>
      </c>
      <c r="G18" s="11" t="n"/>
      <c r="H18" s="11" t="n"/>
      <c r="I18" s="11" t="n"/>
      <c r="J18" s="11" t="n"/>
      <c r="K18" s="12" t="n"/>
      <c r="L18" s="11" t="n"/>
      <c r="M18" s="11" t="n"/>
      <c r="N18" s="11" t="n"/>
    </row>
    <row r="19">
      <c r="A19" s="11" t="n"/>
      <c r="B19" s="11" t="n"/>
      <c r="C19" s="12" t="n"/>
      <c r="D19" s="12" t="n"/>
      <c r="E19" s="13">
        <f>IF($D19="","",$D19-TODAY())</f>
        <v/>
      </c>
      <c r="F19" s="13">
        <f>IF($D19="","",IF($G19="Accepted","Closed",IF($E19&lt;0,"EXPIRED",IF($E19&lt;=1,"FOLLOW UP TODAY","OK"))))</f>
        <v/>
      </c>
      <c r="G19" s="11" t="n"/>
      <c r="H19" s="11" t="n"/>
      <c r="I19" s="11" t="n"/>
      <c r="J19" s="11" t="n"/>
      <c r="K19" s="12" t="n"/>
      <c r="L19" s="11" t="n"/>
      <c r="M19" s="11" t="n"/>
      <c r="N19" s="11" t="n"/>
    </row>
    <row r="20">
      <c r="A20" s="11" t="n"/>
      <c r="B20" s="11" t="n"/>
      <c r="C20" s="12" t="n"/>
      <c r="D20" s="12" t="n"/>
      <c r="E20" s="13">
        <f>IF($D20="","",$D20-TODAY())</f>
        <v/>
      </c>
      <c r="F20" s="13">
        <f>IF($D20="","",IF($G20="Accepted","Closed",IF($E20&lt;0,"EXPIRED",IF($E20&lt;=1,"FOLLOW UP TODAY","OK"))))</f>
        <v/>
      </c>
      <c r="G20" s="11" t="n"/>
      <c r="H20" s="11" t="n"/>
      <c r="I20" s="11" t="n"/>
      <c r="J20" s="11" t="n"/>
      <c r="K20" s="12" t="n"/>
      <c r="L20" s="11" t="n"/>
      <c r="M20" s="11" t="n"/>
      <c r="N20" s="11" t="n"/>
    </row>
    <row r="21">
      <c r="A21" s="11" t="n"/>
      <c r="B21" s="11" t="n"/>
      <c r="C21" s="12" t="n"/>
      <c r="D21" s="12" t="n"/>
      <c r="E21" s="13">
        <f>IF($D21="","",$D21-TODAY())</f>
        <v/>
      </c>
      <c r="F21" s="13">
        <f>IF($D21="","",IF($G21="Accepted","Closed",IF($E21&lt;0,"EXPIRED",IF($E21&lt;=1,"FOLLOW UP TODAY","OK"))))</f>
        <v/>
      </c>
      <c r="G21" s="11" t="n"/>
      <c r="H21" s="11" t="n"/>
      <c r="I21" s="11" t="n"/>
      <c r="J21" s="11" t="n"/>
      <c r="K21" s="12" t="n"/>
      <c r="L21" s="11" t="n"/>
      <c r="M21" s="11" t="n"/>
      <c r="N21" s="11" t="n"/>
    </row>
    <row r="22">
      <c r="A22" s="11" t="n"/>
      <c r="B22" s="11" t="n"/>
      <c r="C22" s="12" t="n"/>
      <c r="D22" s="12" t="n"/>
      <c r="E22" s="13">
        <f>IF($D22="","",$D22-TODAY())</f>
        <v/>
      </c>
      <c r="F22" s="13">
        <f>IF($D22="","",IF($G22="Accepted","Closed",IF($E22&lt;0,"EXPIRED",IF($E22&lt;=1,"FOLLOW UP TODAY","OK"))))</f>
        <v/>
      </c>
      <c r="G22" s="11" t="n"/>
      <c r="H22" s="11" t="n"/>
      <c r="I22" s="11" t="n"/>
      <c r="J22" s="11" t="n"/>
      <c r="K22" s="12" t="n"/>
      <c r="L22" s="11" t="n"/>
      <c r="M22" s="11" t="n"/>
      <c r="N22" s="11" t="n"/>
    </row>
    <row r="23">
      <c r="A23" s="11" t="n"/>
      <c r="B23" s="11" t="n"/>
      <c r="C23" s="12" t="n"/>
      <c r="D23" s="12" t="n"/>
      <c r="E23" s="13">
        <f>IF($D23="","",$D23-TODAY())</f>
        <v/>
      </c>
      <c r="F23" s="13">
        <f>IF($D23="","",IF($G23="Accepted","Closed",IF($E23&lt;0,"EXPIRED",IF($E23&lt;=1,"FOLLOW UP TODAY","OK"))))</f>
        <v/>
      </c>
      <c r="G23" s="11" t="n"/>
      <c r="H23" s="11" t="n"/>
      <c r="I23" s="11" t="n"/>
      <c r="J23" s="11" t="n"/>
      <c r="K23" s="12" t="n"/>
      <c r="L23" s="11" t="n"/>
      <c r="M23" s="11" t="n"/>
      <c r="N23" s="11" t="n"/>
    </row>
    <row r="24">
      <c r="A24" s="11" t="n"/>
      <c r="B24" s="11" t="n"/>
      <c r="C24" s="12" t="n"/>
      <c r="D24" s="12" t="n"/>
      <c r="E24" s="13">
        <f>IF($D24="","",$D24-TODAY())</f>
        <v/>
      </c>
      <c r="F24" s="13">
        <f>IF($D24="","",IF($G24="Accepted","Closed",IF($E24&lt;0,"EXPIRED",IF($E24&lt;=1,"FOLLOW UP TODAY","OK"))))</f>
        <v/>
      </c>
      <c r="G24" s="11" t="n"/>
      <c r="H24" s="11" t="n"/>
      <c r="I24" s="11" t="n"/>
      <c r="J24" s="11" t="n"/>
      <c r="K24" s="12" t="n"/>
      <c r="L24" s="11" t="n"/>
      <c r="M24" s="11" t="n"/>
      <c r="N24" s="11" t="n"/>
    </row>
    <row r="25">
      <c r="A25" s="11" t="n"/>
      <c r="B25" s="11" t="n"/>
      <c r="C25" s="12" t="n"/>
      <c r="D25" s="12" t="n"/>
      <c r="E25" s="13">
        <f>IF($D25="","",$D25-TODAY())</f>
        <v/>
      </c>
      <c r="F25" s="13">
        <f>IF($D25="","",IF($G25="Accepted","Closed",IF($E25&lt;0,"EXPIRED",IF($E25&lt;=1,"FOLLOW UP TODAY","OK"))))</f>
        <v/>
      </c>
      <c r="G25" s="11" t="n"/>
      <c r="H25" s="11" t="n"/>
      <c r="I25" s="11" t="n"/>
      <c r="J25" s="11" t="n"/>
      <c r="K25" s="12" t="n"/>
      <c r="L25" s="11" t="n"/>
      <c r="M25" s="11" t="n"/>
      <c r="N25" s="11" t="n"/>
    </row>
    <row r="26">
      <c r="A26" s="11" t="n"/>
      <c r="B26" s="11" t="n"/>
      <c r="C26" s="12" t="n"/>
      <c r="D26" s="12" t="n"/>
      <c r="E26" s="13">
        <f>IF($D26="","",$D26-TODAY())</f>
        <v/>
      </c>
      <c r="F26" s="13">
        <f>IF($D26="","",IF($G26="Accepted","Closed",IF($E26&lt;0,"EXPIRED",IF($E26&lt;=1,"FOLLOW UP TODAY","OK"))))</f>
        <v/>
      </c>
      <c r="G26" s="11" t="n"/>
      <c r="H26" s="11" t="n"/>
      <c r="I26" s="11" t="n"/>
      <c r="J26" s="11" t="n"/>
      <c r="K26" s="12" t="n"/>
      <c r="L26" s="11" t="n"/>
      <c r="M26" s="11" t="n"/>
      <c r="N26" s="11" t="n"/>
    </row>
    <row r="27">
      <c r="A27" s="11" t="n"/>
      <c r="B27" s="11" t="n"/>
      <c r="C27" s="12" t="n"/>
      <c r="D27" s="12" t="n"/>
      <c r="E27" s="13">
        <f>IF($D27="","",$D27-TODAY())</f>
        <v/>
      </c>
      <c r="F27" s="13">
        <f>IF($D27="","",IF($G27="Accepted","Closed",IF($E27&lt;0,"EXPIRED",IF($E27&lt;=1,"FOLLOW UP TODAY","OK"))))</f>
        <v/>
      </c>
      <c r="G27" s="11" t="n"/>
      <c r="H27" s="11" t="n"/>
      <c r="I27" s="11" t="n"/>
      <c r="J27" s="11" t="n"/>
      <c r="K27" s="12" t="n"/>
      <c r="L27" s="11" t="n"/>
      <c r="M27" s="11" t="n"/>
      <c r="N27" s="11" t="n"/>
    </row>
    <row r="28">
      <c r="A28" s="11" t="n"/>
      <c r="B28" s="11" t="n"/>
      <c r="C28" s="12" t="n"/>
      <c r="D28" s="12" t="n"/>
      <c r="E28" s="13">
        <f>IF($D28="","",$D28-TODAY())</f>
        <v/>
      </c>
      <c r="F28" s="13">
        <f>IF($D28="","",IF($G28="Accepted","Closed",IF($E28&lt;0,"EXPIRED",IF($E28&lt;=1,"FOLLOW UP TODAY","OK"))))</f>
        <v/>
      </c>
      <c r="G28" s="11" t="n"/>
      <c r="H28" s="11" t="n"/>
      <c r="I28" s="11" t="n"/>
      <c r="J28" s="11" t="n"/>
      <c r="K28" s="12" t="n"/>
      <c r="L28" s="11" t="n"/>
      <c r="M28" s="11" t="n"/>
      <c r="N28" s="11" t="n"/>
    </row>
    <row r="29">
      <c r="A29" s="11" t="n"/>
      <c r="B29" s="11" t="n"/>
      <c r="C29" s="12" t="n"/>
      <c r="D29" s="12" t="n"/>
      <c r="E29" s="13">
        <f>IF($D29="","",$D29-TODAY())</f>
        <v/>
      </c>
      <c r="F29" s="13">
        <f>IF($D29="","",IF($G29="Accepted","Closed",IF($E29&lt;0,"EXPIRED",IF($E29&lt;=1,"FOLLOW UP TODAY","OK"))))</f>
        <v/>
      </c>
      <c r="G29" s="11" t="n"/>
      <c r="H29" s="11" t="n"/>
      <c r="I29" s="11" t="n"/>
      <c r="J29" s="11" t="n"/>
      <c r="K29" s="12" t="n"/>
      <c r="L29" s="11" t="n"/>
      <c r="M29" s="11" t="n"/>
      <c r="N29" s="11" t="n"/>
    </row>
    <row r="30">
      <c r="A30" s="11" t="n"/>
      <c r="B30" s="11" t="n"/>
      <c r="C30" s="12" t="n"/>
      <c r="D30" s="12" t="n"/>
      <c r="E30" s="13">
        <f>IF($D30="","",$D30-TODAY())</f>
        <v/>
      </c>
      <c r="F30" s="13">
        <f>IF($D30="","",IF($G30="Accepted","Closed",IF($E30&lt;0,"EXPIRED",IF($E30&lt;=1,"FOLLOW UP TODAY","OK"))))</f>
        <v/>
      </c>
      <c r="G30" s="11" t="n"/>
      <c r="H30" s="11" t="n"/>
      <c r="I30" s="11" t="n"/>
      <c r="J30" s="11" t="n"/>
      <c r="K30" s="12" t="n"/>
      <c r="L30" s="11" t="n"/>
      <c r="M30" s="11" t="n"/>
      <c r="N30" s="11" t="n"/>
    </row>
    <row r="31">
      <c r="A31" s="11" t="n"/>
      <c r="B31" s="11" t="n"/>
      <c r="C31" s="12" t="n"/>
      <c r="D31" s="12" t="n"/>
      <c r="E31" s="13">
        <f>IF($D31="","",$D31-TODAY())</f>
        <v/>
      </c>
      <c r="F31" s="13">
        <f>IF($D31="","",IF($G31="Accepted","Closed",IF($E31&lt;0,"EXPIRED",IF($E31&lt;=1,"FOLLOW UP TODAY","OK"))))</f>
        <v/>
      </c>
      <c r="G31" s="11" t="n"/>
      <c r="H31" s="11" t="n"/>
      <c r="I31" s="11" t="n"/>
      <c r="J31" s="11" t="n"/>
      <c r="K31" s="12" t="n"/>
      <c r="L31" s="11" t="n"/>
      <c r="M31" s="11" t="n"/>
      <c r="N31" s="11" t="n"/>
    </row>
    <row r="32">
      <c r="A32" s="11" t="n"/>
      <c r="B32" s="11" t="n"/>
      <c r="C32" s="12" t="n"/>
      <c r="D32" s="12" t="n"/>
      <c r="E32" s="13">
        <f>IF($D32="","",$D32-TODAY())</f>
        <v/>
      </c>
      <c r="F32" s="13">
        <f>IF($D32="","",IF($G32="Accepted","Closed",IF($E32&lt;0,"EXPIRED",IF($E32&lt;=1,"FOLLOW UP TODAY","OK"))))</f>
        <v/>
      </c>
      <c r="G32" s="11" t="n"/>
      <c r="H32" s="11" t="n"/>
      <c r="I32" s="11" t="n"/>
      <c r="J32" s="11" t="n"/>
      <c r="K32" s="12" t="n"/>
      <c r="L32" s="11" t="n"/>
      <c r="M32" s="11" t="n"/>
      <c r="N32" s="11" t="n"/>
    </row>
    <row r="33">
      <c r="A33" s="11" t="n"/>
      <c r="B33" s="11" t="n"/>
      <c r="C33" s="12" t="n"/>
      <c r="D33" s="12" t="n"/>
      <c r="E33" s="13">
        <f>IF($D33="","",$D33-TODAY())</f>
        <v/>
      </c>
      <c r="F33" s="13">
        <f>IF($D33="","",IF($G33="Accepted","Closed",IF($E33&lt;0,"EXPIRED",IF($E33&lt;=1,"FOLLOW UP TODAY","OK"))))</f>
        <v/>
      </c>
      <c r="G33" s="11" t="n"/>
      <c r="H33" s="11" t="n"/>
      <c r="I33" s="11" t="n"/>
      <c r="J33" s="11" t="n"/>
      <c r="K33" s="12" t="n"/>
      <c r="L33" s="11" t="n"/>
      <c r="M33" s="11" t="n"/>
      <c r="N33" s="11" t="n"/>
    </row>
    <row r="34">
      <c r="A34" s="11" t="n"/>
      <c r="B34" s="11" t="n"/>
      <c r="C34" s="12" t="n"/>
      <c r="D34" s="12" t="n"/>
      <c r="E34" s="13">
        <f>IF($D34="","",$D34-TODAY())</f>
        <v/>
      </c>
      <c r="F34" s="13">
        <f>IF($D34="","",IF($G34="Accepted","Closed",IF($E34&lt;0,"EXPIRED",IF($E34&lt;=1,"FOLLOW UP TODAY","OK"))))</f>
        <v/>
      </c>
      <c r="G34" s="11" t="n"/>
      <c r="H34" s="11" t="n"/>
      <c r="I34" s="11" t="n"/>
      <c r="J34" s="11" t="n"/>
      <c r="K34" s="12" t="n"/>
      <c r="L34" s="11" t="n"/>
      <c r="M34" s="11" t="n"/>
      <c r="N34" s="11" t="n"/>
    </row>
    <row r="35">
      <c r="A35" s="11" t="n"/>
      <c r="B35" s="11" t="n"/>
      <c r="C35" s="12" t="n"/>
      <c r="D35" s="12" t="n"/>
      <c r="E35" s="13">
        <f>IF($D35="","",$D35-TODAY())</f>
        <v/>
      </c>
      <c r="F35" s="13">
        <f>IF($D35="","",IF($G35="Accepted","Closed",IF($E35&lt;0,"EXPIRED",IF($E35&lt;=1,"FOLLOW UP TODAY","OK"))))</f>
        <v/>
      </c>
      <c r="G35" s="11" t="n"/>
      <c r="H35" s="11" t="n"/>
      <c r="I35" s="11" t="n"/>
      <c r="J35" s="11" t="n"/>
      <c r="K35" s="12" t="n"/>
      <c r="L35" s="11" t="n"/>
      <c r="M35" s="11" t="n"/>
      <c r="N35" s="11" t="n"/>
    </row>
    <row r="36">
      <c r="A36" s="11" t="n"/>
      <c r="B36" s="11" t="n"/>
      <c r="C36" s="12" t="n"/>
      <c r="D36" s="12" t="n"/>
      <c r="E36" s="13">
        <f>IF($D36="","",$D36-TODAY())</f>
        <v/>
      </c>
      <c r="F36" s="13">
        <f>IF($D36="","",IF($G36="Accepted","Closed",IF($E36&lt;0,"EXPIRED",IF($E36&lt;=1,"FOLLOW UP TODAY","OK"))))</f>
        <v/>
      </c>
      <c r="G36" s="11" t="n"/>
      <c r="H36" s="11" t="n"/>
      <c r="I36" s="11" t="n"/>
      <c r="J36" s="11" t="n"/>
      <c r="K36" s="12" t="n"/>
      <c r="L36" s="11" t="n"/>
      <c r="M36" s="11" t="n"/>
      <c r="N36" s="11" t="n"/>
    </row>
    <row r="37">
      <c r="A37" s="11" t="n"/>
      <c r="B37" s="11" t="n"/>
      <c r="C37" s="12" t="n"/>
      <c r="D37" s="12" t="n"/>
      <c r="E37" s="13">
        <f>IF($D37="","",$D37-TODAY())</f>
        <v/>
      </c>
      <c r="F37" s="13">
        <f>IF($D37="","",IF($G37="Accepted","Closed",IF($E37&lt;0,"EXPIRED",IF($E37&lt;=1,"FOLLOW UP TODAY","OK"))))</f>
        <v/>
      </c>
      <c r="G37" s="11" t="n"/>
      <c r="H37" s="11" t="n"/>
      <c r="I37" s="11" t="n"/>
      <c r="J37" s="11" t="n"/>
      <c r="K37" s="12" t="n"/>
      <c r="L37" s="11" t="n"/>
      <c r="M37" s="11" t="n"/>
      <c r="N37" s="11" t="n"/>
    </row>
    <row r="38">
      <c r="A38" s="11" t="n"/>
      <c r="B38" s="11" t="n"/>
      <c r="C38" s="12" t="n"/>
      <c r="D38" s="12" t="n"/>
      <c r="E38" s="13">
        <f>IF($D38="","",$D38-TODAY())</f>
        <v/>
      </c>
      <c r="F38" s="13">
        <f>IF($D38="","",IF($G38="Accepted","Closed",IF($E38&lt;0,"EXPIRED",IF($E38&lt;=1,"FOLLOW UP TODAY","OK"))))</f>
        <v/>
      </c>
      <c r="G38" s="11" t="n"/>
      <c r="H38" s="11" t="n"/>
      <c r="I38" s="11" t="n"/>
      <c r="J38" s="11" t="n"/>
      <c r="K38" s="12" t="n"/>
      <c r="L38" s="11" t="n"/>
      <c r="M38" s="11" t="n"/>
      <c r="N38" s="11" t="n"/>
    </row>
    <row r="39">
      <c r="A39" s="11" t="n"/>
      <c r="B39" s="11" t="n"/>
      <c r="C39" s="12" t="n"/>
      <c r="D39" s="12" t="n"/>
      <c r="E39" s="13">
        <f>IF($D39="","",$D39-TODAY())</f>
        <v/>
      </c>
      <c r="F39" s="13">
        <f>IF($D39="","",IF($G39="Accepted","Closed",IF($E39&lt;0,"EXPIRED",IF($E39&lt;=1,"FOLLOW UP TODAY","OK"))))</f>
        <v/>
      </c>
      <c r="G39" s="11" t="n"/>
      <c r="H39" s="11" t="n"/>
      <c r="I39" s="11" t="n"/>
      <c r="J39" s="11" t="n"/>
      <c r="K39" s="12" t="n"/>
      <c r="L39" s="11" t="n"/>
      <c r="M39" s="11" t="n"/>
      <c r="N39" s="11" t="n"/>
    </row>
    <row r="40">
      <c r="A40" s="11" t="n"/>
      <c r="B40" s="11" t="n"/>
      <c r="C40" s="12" t="n"/>
      <c r="D40" s="12" t="n"/>
      <c r="E40" s="13">
        <f>IF($D40="","",$D40-TODAY())</f>
        <v/>
      </c>
      <c r="F40" s="13">
        <f>IF($D40="","",IF($G40="Accepted","Closed",IF($E40&lt;0,"EXPIRED",IF($E40&lt;=1,"FOLLOW UP TODAY","OK"))))</f>
        <v/>
      </c>
      <c r="G40" s="11" t="n"/>
      <c r="H40" s="11" t="n"/>
      <c r="I40" s="11" t="n"/>
      <c r="J40" s="11" t="n"/>
      <c r="K40" s="12" t="n"/>
      <c r="L40" s="11" t="n"/>
      <c r="M40" s="11" t="n"/>
      <c r="N40" s="11" t="n"/>
    </row>
    <row r="41">
      <c r="A41" s="11" t="n"/>
      <c r="B41" s="11" t="n"/>
      <c r="C41" s="12" t="n"/>
      <c r="D41" s="12" t="n"/>
      <c r="E41" s="13">
        <f>IF($D41="","",$D41-TODAY())</f>
        <v/>
      </c>
      <c r="F41" s="13">
        <f>IF($D41="","",IF($G41="Accepted","Closed",IF($E41&lt;0,"EXPIRED",IF($E41&lt;=1,"FOLLOW UP TODAY","OK"))))</f>
        <v/>
      </c>
      <c r="G41" s="11" t="n"/>
      <c r="H41" s="11" t="n"/>
      <c r="I41" s="11" t="n"/>
      <c r="J41" s="11" t="n"/>
      <c r="K41" s="12" t="n"/>
      <c r="L41" s="11" t="n"/>
      <c r="M41" s="11" t="n"/>
      <c r="N41" s="11" t="n"/>
    </row>
    <row r="42">
      <c r="A42" s="11" t="n"/>
      <c r="B42" s="11" t="n"/>
      <c r="C42" s="12" t="n"/>
      <c r="D42" s="12" t="n"/>
      <c r="E42" s="13">
        <f>IF($D42="","",$D42-TODAY())</f>
        <v/>
      </c>
      <c r="F42" s="13">
        <f>IF($D42="","",IF($G42="Accepted","Closed",IF($E42&lt;0,"EXPIRED",IF($E42&lt;=1,"FOLLOW UP TODAY","OK"))))</f>
        <v/>
      </c>
      <c r="G42" s="11" t="n"/>
      <c r="H42" s="11" t="n"/>
      <c r="I42" s="11" t="n"/>
      <c r="J42" s="11" t="n"/>
      <c r="K42" s="12" t="n"/>
      <c r="L42" s="11" t="n"/>
      <c r="M42" s="11" t="n"/>
      <c r="N42" s="11" t="n"/>
    </row>
    <row r="43">
      <c r="A43" s="11" t="n"/>
      <c r="B43" s="11" t="n"/>
      <c r="C43" s="12" t="n"/>
      <c r="D43" s="12" t="n"/>
      <c r="E43" s="13">
        <f>IF($D43="","",$D43-TODAY())</f>
        <v/>
      </c>
      <c r="F43" s="13">
        <f>IF($D43="","",IF($G43="Accepted","Closed",IF($E43&lt;0,"EXPIRED",IF($E43&lt;=1,"FOLLOW UP TODAY","OK"))))</f>
        <v/>
      </c>
      <c r="G43" s="11" t="n"/>
      <c r="H43" s="11" t="n"/>
      <c r="I43" s="11" t="n"/>
      <c r="J43" s="11" t="n"/>
      <c r="K43" s="12" t="n"/>
      <c r="L43" s="11" t="n"/>
      <c r="M43" s="11" t="n"/>
      <c r="N43" s="11" t="n"/>
    </row>
    <row r="44">
      <c r="A44" s="11" t="n"/>
      <c r="B44" s="11" t="n"/>
      <c r="C44" s="12" t="n"/>
      <c r="D44" s="12" t="n"/>
      <c r="E44" s="13">
        <f>IF($D44="","",$D44-TODAY())</f>
        <v/>
      </c>
      <c r="F44" s="13">
        <f>IF($D44="","",IF($G44="Accepted","Closed",IF($E44&lt;0,"EXPIRED",IF($E44&lt;=1,"FOLLOW UP TODAY","OK"))))</f>
        <v/>
      </c>
      <c r="G44" s="11" t="n"/>
      <c r="H44" s="11" t="n"/>
      <c r="I44" s="11" t="n"/>
      <c r="J44" s="11" t="n"/>
      <c r="K44" s="12" t="n"/>
      <c r="L44" s="11" t="n"/>
      <c r="M44" s="11" t="n"/>
      <c r="N44" s="11" t="n"/>
    </row>
  </sheetData>
  <autoFilter ref="A4:N4"/>
  <dataValidations count="2">
    <dataValidation sqref="G5:G44" showDropDown="0" showInputMessage="0" showErrorMessage="0" allowBlank="1" type="list">
      <formula1>"Verbal Extended,Extended,Negotiating,Accepted,Declined,Rescinded,Expired"</formula1>
    </dataValidation>
    <dataValidation sqref="H5:H44" showDropDown="0" showInputMessage="0" showErrorMessage="0" allowBlank="1" type="list">
      <formula1>"Not started,Pending,Cleared,Review required - ESCALATE,N/A"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20" customWidth="1" min="4" max="4"/>
    <col width="13" customWidth="1" min="5" max="5"/>
    <col width="15" customWidth="1" min="6" max="6"/>
    <col width="34" customWidth="1" min="7" max="7"/>
  </cols>
  <sheetData>
    <row r="1">
      <c r="A1" s="6" t="inlineStr">
        <is>
          <t>PHASE 3 — ONBOARDING CHECKLIST</t>
        </is>
      </c>
    </row>
    <row r="2">
      <c r="A2" s="4" t="inlineStr">
        <is>
          <t>New hire:</t>
        </is>
      </c>
      <c r="B2" s="18" t="inlineStr">
        <is>
          <t>J. Okafor  (EXAMPLE)</t>
        </is>
      </c>
      <c r="C2" s="4" t="inlineStr">
        <is>
          <t>Start date:</t>
        </is>
      </c>
      <c r="D2" s="19" t="n">
        <v>46279</v>
      </c>
      <c r="E2" s="2" t="inlineStr">
        <is>
          <t>Change D2 and every due date below recalculates.</t>
        </is>
      </c>
    </row>
    <row r="4" ht="30" customHeight="1">
      <c r="A4" s="7" t="inlineStr">
        <is>
          <t>Phase</t>
        </is>
      </c>
      <c r="B4" s="7" t="inlineStr">
        <is>
          <t>Task</t>
        </is>
      </c>
      <c r="C4" s="7" t="inlineStr">
        <is>
          <t>Owner</t>
        </is>
      </c>
      <c r="D4" s="7" t="inlineStr">
        <is>
          <t>Offset (days from start)</t>
        </is>
      </c>
      <c r="E4" s="7" t="inlineStr">
        <is>
          <t>Due Date</t>
        </is>
      </c>
      <c r="F4" s="7" t="inlineStr">
        <is>
          <t>Status</t>
        </is>
      </c>
      <c r="G4" s="7" t="inlineStr">
        <is>
          <t>Blocker / Note</t>
        </is>
      </c>
    </row>
    <row r="5">
      <c r="A5" s="20" t="inlineStr">
        <is>
          <t>Pre-start</t>
        </is>
      </c>
      <c r="B5" s="20" t="inlineStr">
        <is>
          <t>Offer accepted — notify hiring manager, close req, disposition remaining candidates</t>
        </is>
      </c>
      <c r="C5" s="20" t="inlineStr">
        <is>
          <t>Coordinator</t>
        </is>
      </c>
      <c r="D5" s="17" t="n">
        <v>-30</v>
      </c>
      <c r="E5" s="21">
        <f>IF(OR($D$2="",$D5=""),"",$D$2+$D5)</f>
        <v/>
      </c>
      <c r="F5" s="11" t="n"/>
      <c r="G5" s="11" t="n"/>
    </row>
    <row r="6">
      <c r="A6" s="20" t="inlineStr">
        <is>
          <t>Pre-start</t>
        </is>
      </c>
      <c r="B6" s="20" t="inlineStr">
        <is>
          <t>Background check / conditional contingencies cleared and documented</t>
        </is>
      </c>
      <c r="C6" s="20" t="inlineStr">
        <is>
          <t>Coordinator</t>
        </is>
      </c>
      <c r="D6" s="17" t="n">
        <v>-21</v>
      </c>
      <c r="E6" s="21">
        <f>IF(OR($D$2="",$D6=""),"",$D$2+$D6)</f>
        <v/>
      </c>
      <c r="F6" s="11" t="n"/>
      <c r="G6" s="11" t="n"/>
    </row>
    <row r="7">
      <c r="A7" s="20" t="inlineStr">
        <is>
          <t>Pre-start</t>
        </is>
      </c>
      <c r="B7" s="20" t="inlineStr">
        <is>
          <t>Welcome email + onboarding portal access sent</t>
        </is>
      </c>
      <c r="C7" s="20" t="inlineStr">
        <is>
          <t>Coordinator</t>
        </is>
      </c>
      <c r="D7" s="17" t="n">
        <v>-14</v>
      </c>
      <c r="E7" s="21">
        <f>IF(OR($D$2="",$D7=""),"",$D$2+$D7)</f>
        <v/>
      </c>
      <c r="F7" s="11" t="n"/>
      <c r="G7" s="11" t="n"/>
    </row>
    <row r="8">
      <c r="A8" s="20" t="inlineStr">
        <is>
          <t>Pre-start</t>
        </is>
      </c>
      <c r="B8" s="20" t="inlineStr">
        <is>
          <t>New-hire paperwork packet issued (tax forms, direct deposit, policy acks)</t>
        </is>
      </c>
      <c r="C8" s="20" t="inlineStr">
        <is>
          <t>Coordinator</t>
        </is>
      </c>
      <c r="D8" s="17" t="n">
        <v>-14</v>
      </c>
      <c r="E8" s="21">
        <f>IF(OR($D$2="",$D8=""),"",$D$2+$D8)</f>
        <v/>
      </c>
      <c r="F8" s="11" t="n"/>
      <c r="G8" s="11" t="n"/>
    </row>
    <row r="9">
      <c r="A9" s="20" t="inlineStr">
        <is>
          <t>Pre-start</t>
        </is>
      </c>
      <c r="B9" s="20" t="inlineStr">
        <is>
          <t>Employee completes Section 1 of employment-eligibility form (on or before day 1)</t>
        </is>
      </c>
      <c r="C9" s="20" t="inlineStr">
        <is>
          <t>New hire</t>
        </is>
      </c>
      <c r="D9" s="17" t="n">
        <v>-1</v>
      </c>
      <c r="E9" s="21">
        <f>IF(OR($D$2="",$D9=""),"",$D$2+$D9)</f>
        <v/>
      </c>
      <c r="F9" s="11" t="n"/>
      <c r="G9" s="11" t="n"/>
    </row>
    <row r="10">
      <c r="A10" s="20" t="inlineStr">
        <is>
          <t>Pre-start</t>
        </is>
      </c>
      <c r="B10" s="20" t="inlineStr">
        <is>
          <t>Equipment, uniform, PPE and badge requested</t>
        </is>
      </c>
      <c r="C10" s="20" t="inlineStr">
        <is>
          <t>Coordinator</t>
        </is>
      </c>
      <c r="D10" s="17" t="n">
        <v>-10</v>
      </c>
      <c r="E10" s="21">
        <f>IF(OR($D$2="",$D10=""),"",$D$2+$D10)</f>
        <v/>
      </c>
      <c r="F10" s="11" t="n"/>
      <c r="G10" s="11" t="n"/>
    </row>
    <row r="11">
      <c r="A11" s="20" t="inlineStr">
        <is>
          <t>Pre-start</t>
        </is>
      </c>
      <c r="B11" s="20" t="inlineStr">
        <is>
          <t>IT accounts, systems access and licenses provisioned</t>
        </is>
      </c>
      <c r="C11" s="20" t="inlineStr">
        <is>
          <t>IT</t>
        </is>
      </c>
      <c r="D11" s="17" t="n">
        <v>-7</v>
      </c>
      <c r="E11" s="21">
        <f>IF(OR($D$2="",$D11=""),"",$D$2+$D11)</f>
        <v/>
      </c>
      <c r="F11" s="11" t="n"/>
      <c r="G11" s="11" t="n"/>
    </row>
    <row r="12">
      <c r="A12" s="20" t="inlineStr">
        <is>
          <t>Pre-start</t>
        </is>
      </c>
      <c r="B12" s="20" t="inlineStr">
        <is>
          <t>Payroll/HRIS record created — pay rate audited against the signed offer letter</t>
        </is>
      </c>
      <c r="C12" s="20" t="inlineStr">
        <is>
          <t>Coordinator</t>
        </is>
      </c>
      <c r="D12" s="17" t="n">
        <v>-7</v>
      </c>
      <c r="E12" s="21">
        <f>IF(OR($D$2="",$D12=""),"",$D$2+$D12)</f>
        <v/>
      </c>
      <c r="F12" s="11" t="n"/>
      <c r="G12" s="11" t="n"/>
    </row>
    <row r="13">
      <c r="A13" s="20" t="inlineStr">
        <is>
          <t>Pre-start</t>
        </is>
      </c>
      <c r="B13" s="20" t="inlineStr">
        <is>
          <t>Benefits enrollment window and effective dates confirmed</t>
        </is>
      </c>
      <c r="C13" s="20" t="inlineStr">
        <is>
          <t>Benefits</t>
        </is>
      </c>
      <c r="D13" s="17" t="n">
        <v>-7</v>
      </c>
      <c r="E13" s="21">
        <f>IF(OR($D$2="",$D13=""),"",$D$2+$D13)</f>
        <v/>
      </c>
      <c r="F13" s="11" t="n"/>
      <c r="G13" s="11" t="n"/>
    </row>
    <row r="14">
      <c r="A14" s="20" t="inlineStr">
        <is>
          <t>Pre-start</t>
        </is>
      </c>
      <c r="B14" s="20" t="inlineStr">
        <is>
          <t>Day-one agenda sent to hiring manager; buddy/mentor assigned</t>
        </is>
      </c>
      <c r="C14" s="20" t="inlineStr">
        <is>
          <t>Coordinator</t>
        </is>
      </c>
      <c r="D14" s="17" t="n">
        <v>-5</v>
      </c>
      <c r="E14" s="21">
        <f>IF(OR($D$2="",$D14=""),"",$D$2+$D14)</f>
        <v/>
      </c>
      <c r="F14" s="11" t="n"/>
      <c r="G14" s="11" t="n"/>
    </row>
    <row r="15">
      <c r="A15" s="20" t="inlineStr">
        <is>
          <t>Pre-start</t>
        </is>
      </c>
      <c r="B15" s="20" t="inlineStr">
        <is>
          <t>First-day logistics confirmed to new hire (time, place, contact, dress, what to bring)</t>
        </is>
      </c>
      <c r="C15" s="20" t="inlineStr">
        <is>
          <t>Coordinator</t>
        </is>
      </c>
      <c r="D15" s="17" t="n">
        <v>-3</v>
      </c>
      <c r="E15" s="21">
        <f>IF(OR($D$2="",$D15=""),"",$D$2+$D15)</f>
        <v/>
      </c>
      <c r="F15" s="11" t="n"/>
      <c r="G15" s="11" t="n"/>
    </row>
    <row r="16">
      <c r="A16" s="20" t="inlineStr">
        <is>
          <t>Day one</t>
        </is>
      </c>
      <c r="B16" s="20" t="inlineStr">
        <is>
          <t>Greeting, workspace and equipment ready</t>
        </is>
      </c>
      <c r="C16" s="20" t="inlineStr">
        <is>
          <t>Manager</t>
        </is>
      </c>
      <c r="D16" s="17" t="n">
        <v>0</v>
      </c>
      <c r="E16" s="21">
        <f>IF(OR($D$2="",$D16=""),"",$D$2+$D16)</f>
        <v/>
      </c>
      <c r="F16" s="11" t="n"/>
      <c r="G16" s="11" t="n"/>
    </row>
    <row r="17">
      <c r="A17" s="20" t="inlineStr">
        <is>
          <t>Day one</t>
        </is>
      </c>
      <c r="B17" s="20" t="inlineStr">
        <is>
          <t>Employer completes Section 2 of employment-eligibility form (within 3 business days of start)</t>
        </is>
      </c>
      <c r="C17" s="20" t="inlineStr">
        <is>
          <t>Coordinator</t>
        </is>
      </c>
      <c r="D17" s="17" t="n">
        <v>0</v>
      </c>
      <c r="E17" s="21">
        <f>IF(OR($D$2="",$D17=""),"",$D$2+$D17)</f>
        <v/>
      </c>
      <c r="F17" s="11" t="n"/>
      <c r="G17" s="11" t="n"/>
    </row>
    <row r="18">
      <c r="A18" s="20" t="inlineStr">
        <is>
          <t>Day one</t>
        </is>
      </c>
      <c r="B18" s="20" t="inlineStr">
        <is>
          <t>Policy acknowledgments signed and filed</t>
        </is>
      </c>
      <c r="C18" s="20" t="inlineStr">
        <is>
          <t>Coordinator</t>
        </is>
      </c>
      <c r="D18" s="17" t="n">
        <v>0</v>
      </c>
      <c r="E18" s="21">
        <f>IF(OR($D$2="",$D18=""),"",$D$2+$D18)</f>
        <v/>
      </c>
      <c r="F18" s="11" t="n"/>
      <c r="G18" s="11" t="n"/>
    </row>
    <row r="19">
      <c r="A19" s="20" t="inlineStr">
        <is>
          <t>Day one</t>
        </is>
      </c>
      <c r="B19" s="20" t="inlineStr">
        <is>
          <t>Safety orientation and required compliance training scheduled</t>
        </is>
      </c>
      <c r="C19" s="20" t="inlineStr">
        <is>
          <t>EHS</t>
        </is>
      </c>
      <c r="D19" s="17" t="n">
        <v>0</v>
      </c>
      <c r="E19" s="21">
        <f>IF(OR($D$2="",$D19=""),"",$D$2+$D19)</f>
        <v/>
      </c>
      <c r="F19" s="11" t="n"/>
      <c r="G19" s="11" t="n"/>
    </row>
    <row r="20">
      <c r="A20" s="20" t="inlineStr">
        <is>
          <t>Day one</t>
        </is>
      </c>
      <c r="B20" s="20" t="inlineStr">
        <is>
          <t>Team introductions and systems walkthrough</t>
        </is>
      </c>
      <c r="C20" s="20" t="inlineStr">
        <is>
          <t>Manager</t>
        </is>
      </c>
      <c r="D20" s="17" t="n">
        <v>0</v>
      </c>
      <c r="E20" s="21">
        <f>IF(OR($D$2="",$D20=""),"",$D$2+$D20)</f>
        <v/>
      </c>
      <c r="F20" s="11" t="n"/>
      <c r="G20" s="11" t="n"/>
    </row>
    <row r="21">
      <c r="A21" s="20" t="inlineStr">
        <is>
          <t>Week one</t>
        </is>
      </c>
      <c r="B21" s="20" t="inlineStr">
        <is>
          <t>Benefits enrollment session completed</t>
        </is>
      </c>
      <c r="C21" s="20" t="inlineStr">
        <is>
          <t>Benefits</t>
        </is>
      </c>
      <c r="D21" s="17" t="n">
        <v>3</v>
      </c>
      <c r="E21" s="21">
        <f>IF(OR($D$2="",$D21=""),"",$D$2+$D21)</f>
        <v/>
      </c>
      <c r="F21" s="11" t="n"/>
      <c r="G21" s="11" t="n"/>
    </row>
    <row r="22">
      <c r="A22" s="20" t="inlineStr">
        <is>
          <t>Week one</t>
        </is>
      </c>
      <c r="B22" s="20" t="inlineStr">
        <is>
          <t>30/60/90 plan and role expectations set with manager</t>
        </is>
      </c>
      <c r="C22" s="20" t="inlineStr">
        <is>
          <t>Manager</t>
        </is>
      </c>
      <c r="D22" s="17" t="n">
        <v>4</v>
      </c>
      <c r="E22" s="21">
        <f>IF(OR($D$2="",$D22=""),"",$D$2+$D22)</f>
        <v/>
      </c>
      <c r="F22" s="11" t="n"/>
      <c r="G22" s="11" t="n"/>
    </row>
    <row r="23">
      <c r="A23" s="20" t="inlineStr">
        <is>
          <t>Week one</t>
        </is>
      </c>
      <c r="B23" s="20" t="inlineStr">
        <is>
          <t>Training schedule confirmed</t>
        </is>
      </c>
      <c r="C23" s="20" t="inlineStr">
        <is>
          <t>Manager</t>
        </is>
      </c>
      <c r="D23" s="17" t="n">
        <v>4</v>
      </c>
      <c r="E23" s="21">
        <f>IF(OR($D$2="",$D23=""),"",$D$2+$D23)</f>
        <v/>
      </c>
      <c r="F23" s="11" t="n"/>
      <c r="G23" s="11" t="n"/>
    </row>
    <row r="24">
      <c r="A24" s="20" t="inlineStr">
        <is>
          <t>Week one</t>
        </is>
      </c>
      <c r="B24" s="20" t="inlineStr">
        <is>
          <t>Day-five coordinator check-in</t>
        </is>
      </c>
      <c r="C24" s="20" t="inlineStr">
        <is>
          <t>Coordinator</t>
        </is>
      </c>
      <c r="D24" s="17" t="n">
        <v>5</v>
      </c>
      <c r="E24" s="21">
        <f>IF(OR($D$2="",$D24=""),"",$D$2+$D24)</f>
        <v/>
      </c>
      <c r="F24" s="11" t="n"/>
      <c r="G24" s="11" t="n"/>
    </row>
    <row r="25">
      <c r="A25" s="20" t="inlineStr">
        <is>
          <t>Day 30</t>
        </is>
      </c>
      <c r="B25" s="20" t="inlineStr">
        <is>
          <t>30-day check-in; training completion verified; early-attrition risk flagged</t>
        </is>
      </c>
      <c r="C25" s="20" t="inlineStr">
        <is>
          <t>Coordinator</t>
        </is>
      </c>
      <c r="D25" s="17" t="n">
        <v>30</v>
      </c>
      <c r="E25" s="21">
        <f>IF(OR($D$2="",$D25=""),"",$D$2+$D25)</f>
        <v/>
      </c>
      <c r="F25" s="11" t="n"/>
      <c r="G25" s="11" t="n"/>
    </row>
    <row r="26">
      <c r="A26" s="20" t="inlineStr">
        <is>
          <t>Day 60</t>
        </is>
      </c>
      <c r="B26" s="20" t="inlineStr">
        <is>
          <t>60-day check-in; performance signal reviewed with manager</t>
        </is>
      </c>
      <c r="C26" s="20" t="inlineStr">
        <is>
          <t>Manager</t>
        </is>
      </c>
      <c r="D26" s="17" t="n">
        <v>60</v>
      </c>
      <c r="E26" s="21">
        <f>IF(OR($D$2="",$D26=""),"",$D$2+$D26)</f>
        <v/>
      </c>
      <c r="F26" s="11" t="n"/>
      <c r="G26" s="11" t="n"/>
    </row>
    <row r="27">
      <c r="A27" s="20" t="inlineStr">
        <is>
          <t>Day 90</t>
        </is>
      </c>
      <c r="B27" s="20" t="inlineStr">
        <is>
          <t>90-day review; quality-of-hire data point recorded; probation decision if applicable</t>
        </is>
      </c>
      <c r="C27" s="20" t="inlineStr">
        <is>
          <t>Manager</t>
        </is>
      </c>
      <c r="D27" s="17" t="n">
        <v>90</v>
      </c>
      <c r="E27" s="21">
        <f>IF(OR($D$2="",$D27=""),"",$D$2+$D27)</f>
        <v/>
      </c>
      <c r="F27" s="11" t="n"/>
      <c r="G27" s="11" t="n"/>
    </row>
    <row r="28">
      <c r="A28" s="20" t="inlineStr">
        <is>
          <t>Audit</t>
        </is>
      </c>
      <c r="B28" s="20" t="inlineStr">
        <is>
          <t>Personnel / medical / eligibility files confirmed segregated and complete</t>
        </is>
      </c>
      <c r="C28" s="20" t="inlineStr">
        <is>
          <t>Coordinator</t>
        </is>
      </c>
      <c r="D28" s="17" t="n">
        <v>95</v>
      </c>
      <c r="E28" s="21">
        <f>IF(OR($D$2="",$D28=""),"",$D$2+$D28)</f>
        <v/>
      </c>
      <c r="F28" s="11" t="n"/>
      <c r="G28" s="11" t="n"/>
    </row>
    <row r="29">
      <c r="E29" s="22" t="n"/>
    </row>
    <row r="30">
      <c r="B30" s="2" t="inlineStr">
        <is>
          <t>Offsets are calendar days from the start date in D2. Verify the employment-eligibility deadline against current rules — it is stated in business days.</t>
        </is>
      </c>
      <c r="E30" s="22" t="n"/>
    </row>
  </sheetData>
  <dataValidations count="1">
    <dataValidation sqref="F5:F29" showDropDown="0" showInputMessage="0" showErrorMessage="0" allowBlank="1" type="list">
      <formula1>"Not started,In progress,Complete,Blocked,N/A"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14" customWidth="1" min="4" max="4"/>
    <col width="24" customWidth="1" min="5" max="5"/>
    <col width="34" customWidth="1" min="6" max="6"/>
    <col width="17" customWidth="1" min="7" max="7"/>
    <col width="17" customWidth="1" min="8" max="8"/>
    <col width="16" customWidth="1" min="9" max="9"/>
    <col width="24" customWidth="1" min="10" max="10"/>
    <col width="20" customWidth="1" min="11" max="11"/>
    <col width="12" customWidth="1" min="12" max="12"/>
    <col width="11" customWidth="1" min="13" max="13"/>
  </cols>
  <sheetData>
    <row r="1">
      <c r="A1" s="6" t="inlineStr">
        <is>
          <t>PHASE 4 — DAILY TIMEKEEPING EXCEPTIONS</t>
        </is>
      </c>
    </row>
    <row r="2">
      <c r="A2" s="2" t="inlineStr">
        <is>
          <t>Work every exception the same day. Uncorrected time records create wage-and-hour exposure.</t>
        </is>
      </c>
    </row>
    <row r="4" ht="30" customHeight="1">
      <c r="A4" s="7" t="inlineStr">
        <is>
          <t>Date</t>
        </is>
      </c>
      <c r="B4" s="7" t="inlineStr">
        <is>
          <t>Employee</t>
        </is>
      </c>
      <c r="C4" s="7" t="inlineStr">
        <is>
          <t>Location</t>
        </is>
      </c>
      <c r="D4" s="7" t="inlineStr">
        <is>
          <t>Shift</t>
        </is>
      </c>
      <c r="E4" s="7" t="inlineStr">
        <is>
          <t>Exception Type</t>
        </is>
      </c>
      <c r="F4" s="7" t="inlineStr">
        <is>
          <t>Detail</t>
        </is>
      </c>
      <c r="G4" s="7" t="inlineStr">
        <is>
          <t>Employee Contacted</t>
        </is>
      </c>
      <c r="H4" s="7" t="inlineStr">
        <is>
          <t>Supervisor Approval</t>
        </is>
      </c>
      <c r="I4" s="7" t="inlineStr">
        <is>
          <t>Correction Applied</t>
        </is>
      </c>
      <c r="J4" s="7" t="inlineStr">
        <is>
          <t>Reason</t>
        </is>
      </c>
      <c r="K4" s="7" t="inlineStr">
        <is>
          <t>Escalate?</t>
        </is>
      </c>
      <c r="L4" s="7" t="inlineStr">
        <is>
          <t>Closed Date</t>
        </is>
      </c>
      <c r="M4" s="7" t="inlineStr">
        <is>
          <t>Open Days</t>
        </is>
      </c>
    </row>
    <row r="5">
      <c r="A5" s="9" t="n">
        <v>46248</v>
      </c>
      <c r="B5" s="8" t="inlineStr">
        <is>
          <t>R. Alvarez</t>
        </is>
      </c>
      <c r="C5" s="8" t="inlineStr">
        <is>
          <t>Memphis DC</t>
        </is>
      </c>
      <c r="D5" s="8" t="inlineStr">
        <is>
          <t>2nd 3p-11p</t>
        </is>
      </c>
      <c r="E5" s="8" t="inlineStr">
        <is>
          <t>Missed meal break</t>
        </is>
      </c>
      <c r="F5" s="8" t="inlineStr">
        <is>
          <t>Punched 6h12m with no meal punch</t>
        </is>
      </c>
      <c r="G5" s="8" t="inlineStr">
        <is>
          <t>Yes</t>
        </is>
      </c>
      <c r="H5" s="8" t="inlineStr">
        <is>
          <t>Yes - supervisor T. Bell</t>
        </is>
      </c>
      <c r="I5" s="8" t="inlineStr">
        <is>
          <t>Meal premium applied</t>
        </is>
      </c>
      <c r="J5" s="8" t="inlineStr">
        <is>
          <t>System punch failure at kiosk 3</t>
        </is>
      </c>
      <c r="K5" s="8" t="inlineStr">
        <is>
          <t>No</t>
        </is>
      </c>
      <c r="L5" s="9" t="n">
        <v>46248</v>
      </c>
      <c r="M5" s="10">
        <f>IF($A5="","",IF($L5="",TODAY()-$A5,$L5-$A5))</f>
        <v/>
      </c>
    </row>
    <row r="6">
      <c r="A6" s="12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  <c r="M6" s="13">
        <f>IF($A6="","",IF($L6="",TODAY()-$A6,$L6-$A6))</f>
        <v/>
      </c>
    </row>
    <row r="7">
      <c r="A7" s="12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2" t="n"/>
      <c r="M7" s="13">
        <f>IF($A7="","",IF($L7="",TODAY()-$A7,$L7-$A7))</f>
        <v/>
      </c>
    </row>
    <row r="8">
      <c r="A8" s="12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  <c r="M8" s="13">
        <f>IF($A8="","",IF($L8="",TODAY()-$A8,$L8-$A8))</f>
        <v/>
      </c>
    </row>
    <row r="9">
      <c r="A9" s="12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2" t="n"/>
      <c r="M9" s="13">
        <f>IF($A9="","",IF($L9="",TODAY()-$A9,$L9-$A9))</f>
        <v/>
      </c>
    </row>
    <row r="10">
      <c r="A10" s="12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2" t="n"/>
      <c r="M10" s="13">
        <f>IF($A10="","",IF($L10="",TODAY()-$A10,$L10-$A10))</f>
        <v/>
      </c>
    </row>
    <row r="11">
      <c r="A11" s="12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2" t="n"/>
      <c r="M11" s="13">
        <f>IF($A11="","",IF($L11="",TODAY()-$A11,$L11-$A11))</f>
        <v/>
      </c>
    </row>
    <row r="12">
      <c r="A12" s="12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2" t="n"/>
      <c r="M12" s="13">
        <f>IF($A12="","",IF($L12="",TODAY()-$A12,$L12-$A12))</f>
        <v/>
      </c>
    </row>
    <row r="13">
      <c r="A13" s="12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2" t="n"/>
      <c r="M13" s="13">
        <f>IF($A13="","",IF($L13="",TODAY()-$A13,$L13-$A13))</f>
        <v/>
      </c>
    </row>
    <row r="14">
      <c r="A14" s="12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2" t="n"/>
      <c r="M14" s="13">
        <f>IF($A14="","",IF($L14="",TODAY()-$A14,$L14-$A14))</f>
        <v/>
      </c>
    </row>
    <row r="15">
      <c r="A15" s="12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2" t="n"/>
      <c r="M15" s="13">
        <f>IF($A15="","",IF($L15="",TODAY()-$A15,$L15-$A15))</f>
        <v/>
      </c>
    </row>
    <row r="16">
      <c r="A16" s="12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2" t="n"/>
      <c r="M16" s="13">
        <f>IF($A16="","",IF($L16="",TODAY()-$A16,$L16-$A16))</f>
        <v/>
      </c>
    </row>
    <row r="17">
      <c r="A17" s="12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2" t="n"/>
      <c r="M17" s="13">
        <f>IF($A17="","",IF($L17="",TODAY()-$A17,$L17-$A17))</f>
        <v/>
      </c>
    </row>
    <row r="18">
      <c r="A18" s="12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2" t="n"/>
      <c r="M18" s="13">
        <f>IF($A18="","",IF($L18="",TODAY()-$A18,$L18-$A18))</f>
        <v/>
      </c>
    </row>
    <row r="19">
      <c r="A19" s="12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2" t="n"/>
      <c r="M19" s="13">
        <f>IF($A19="","",IF($L19="",TODAY()-$A19,$L19-$A19))</f>
        <v/>
      </c>
    </row>
    <row r="20">
      <c r="A20" s="12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2" t="n"/>
      <c r="M20" s="13">
        <f>IF($A20="","",IF($L20="",TODAY()-$A20,$L20-$A20))</f>
        <v/>
      </c>
    </row>
    <row r="21">
      <c r="A21" s="12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2" t="n"/>
      <c r="M21" s="13">
        <f>IF($A21="","",IF($L21="",TODAY()-$A21,$L21-$A21))</f>
        <v/>
      </c>
    </row>
    <row r="22">
      <c r="A22" s="12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2" t="n"/>
      <c r="M22" s="13">
        <f>IF($A22="","",IF($L22="",TODAY()-$A22,$L22-$A22))</f>
        <v/>
      </c>
    </row>
    <row r="23">
      <c r="A23" s="12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2" t="n"/>
      <c r="M23" s="13">
        <f>IF($A23="","",IF($L23="",TODAY()-$A23,$L23-$A23))</f>
        <v/>
      </c>
    </row>
    <row r="24">
      <c r="A24" s="12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13">
        <f>IF($A24="","",IF($L24="",TODAY()-$A24,$L24-$A24))</f>
        <v/>
      </c>
    </row>
    <row r="25">
      <c r="A25" s="12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2" t="n"/>
      <c r="M25" s="13">
        <f>IF($A25="","",IF($L25="",TODAY()-$A25,$L25-$A25))</f>
        <v/>
      </c>
    </row>
    <row r="26">
      <c r="A26" s="12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3">
        <f>IF($A26="","",IF($L26="",TODAY()-$A26,$L26-$A26))</f>
        <v/>
      </c>
    </row>
    <row r="27">
      <c r="A27" s="12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2" t="n"/>
      <c r="M27" s="13">
        <f>IF($A27="","",IF($L27="",TODAY()-$A27,$L27-$A27))</f>
        <v/>
      </c>
    </row>
    <row r="28">
      <c r="A28" s="12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3">
        <f>IF($A28="","",IF($L28="",TODAY()-$A28,$L28-$A28))</f>
        <v/>
      </c>
    </row>
    <row r="29">
      <c r="A29" s="12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2" t="n"/>
      <c r="M29" s="13">
        <f>IF($A29="","",IF($L29="",TODAY()-$A29,$L29-$A29))</f>
        <v/>
      </c>
    </row>
    <row r="30">
      <c r="A30" s="12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3">
        <f>IF($A30="","",IF($L30="",TODAY()-$A30,$L30-$A30))</f>
        <v/>
      </c>
    </row>
    <row r="31">
      <c r="A31" s="12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2" t="n"/>
      <c r="M31" s="13">
        <f>IF($A31="","",IF($L31="",TODAY()-$A31,$L31-$A31))</f>
        <v/>
      </c>
    </row>
    <row r="32">
      <c r="A32" s="12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13">
        <f>IF($A32="","",IF($L32="",TODAY()-$A32,$L32-$A32))</f>
        <v/>
      </c>
    </row>
    <row r="33">
      <c r="A33" s="12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2" t="n"/>
      <c r="M33" s="13">
        <f>IF($A33="","",IF($L33="",TODAY()-$A33,$L33-$A33))</f>
        <v/>
      </c>
    </row>
    <row r="34">
      <c r="A34" s="12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2" t="n"/>
      <c r="M34" s="13">
        <f>IF($A34="","",IF($L34="",TODAY()-$A34,$L34-$A34))</f>
        <v/>
      </c>
    </row>
    <row r="35">
      <c r="A35" s="12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2" t="n"/>
      <c r="M35" s="13">
        <f>IF($A35="","",IF($L35="",TODAY()-$A35,$L35-$A35))</f>
        <v/>
      </c>
    </row>
    <row r="36">
      <c r="A36" s="12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2" t="n"/>
      <c r="M36" s="13">
        <f>IF($A36="","",IF($L36="",TODAY()-$A36,$L36-$A36))</f>
        <v/>
      </c>
    </row>
    <row r="37">
      <c r="A37" s="12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2" t="n"/>
      <c r="M37" s="13">
        <f>IF($A37="","",IF($L37="",TODAY()-$A37,$L37-$A37))</f>
        <v/>
      </c>
    </row>
    <row r="38">
      <c r="A38" s="12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2" t="n"/>
      <c r="M38" s="13">
        <f>IF($A38="","",IF($L38="",TODAY()-$A38,$L38-$A38))</f>
        <v/>
      </c>
    </row>
    <row r="39">
      <c r="A39" s="12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2" t="n"/>
      <c r="M39" s="13">
        <f>IF($A39="","",IF($L39="",TODAY()-$A39,$L39-$A39))</f>
        <v/>
      </c>
    </row>
    <row r="40">
      <c r="A40" s="12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2" t="n"/>
      <c r="M40" s="13">
        <f>IF($A40="","",IF($L40="",TODAY()-$A40,$L40-$A40))</f>
        <v/>
      </c>
    </row>
    <row r="41">
      <c r="A41" s="12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2" t="n"/>
      <c r="M41" s="13">
        <f>IF($A41="","",IF($L41="",TODAY()-$A41,$L41-$A41))</f>
        <v/>
      </c>
    </row>
    <row r="42">
      <c r="A42" s="12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3">
        <f>IF($A42="","",IF($L42="",TODAY()-$A42,$L42-$A42))</f>
        <v/>
      </c>
    </row>
    <row r="43">
      <c r="A43" s="12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  <c r="M43" s="13">
        <f>IF($A43="","",IF($L43="",TODAY()-$A43,$L43-$A43))</f>
        <v/>
      </c>
    </row>
    <row r="44">
      <c r="A44" s="12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13">
        <f>IF($A44="","",IF($L44="",TODAY()-$A44,$L44-$A44))</f>
        <v/>
      </c>
    </row>
    <row r="45">
      <c r="A45" s="12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2" t="n"/>
      <c r="M45" s="13">
        <f>IF($A45="","",IF($L45="",TODAY()-$A45,$L45-$A45))</f>
        <v/>
      </c>
    </row>
    <row r="46">
      <c r="A46" s="12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3">
        <f>IF($A46="","",IF($L46="",TODAY()-$A46,$L46-$A46))</f>
        <v/>
      </c>
    </row>
    <row r="47">
      <c r="A47" s="12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2" t="n"/>
      <c r="M47" s="13">
        <f>IF($A47="","",IF($L47="",TODAY()-$A47,$L47-$A47))</f>
        <v/>
      </c>
    </row>
    <row r="48">
      <c r="A48" s="12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13">
        <f>IF($A48="","",IF($L48="",TODAY()-$A48,$L48-$A48))</f>
        <v/>
      </c>
    </row>
    <row r="49">
      <c r="A49" s="12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2" t="n"/>
      <c r="M49" s="13">
        <f>IF($A49="","",IF($L49="",TODAY()-$A49,$L49-$A49))</f>
        <v/>
      </c>
    </row>
    <row r="50">
      <c r="A50" s="12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13">
        <f>IF($A50="","",IF($L50="",TODAY()-$A50,$L50-$A50))</f>
        <v/>
      </c>
    </row>
    <row r="51">
      <c r="A51" s="12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2" t="n"/>
      <c r="M51" s="13">
        <f>IF($A51="","",IF($L51="",TODAY()-$A51,$L51-$A51))</f>
        <v/>
      </c>
    </row>
    <row r="52">
      <c r="A52" s="12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2" t="n"/>
      <c r="M52" s="13">
        <f>IF($A52="","",IF($L52="",TODAY()-$A52,$L52-$A52))</f>
        <v/>
      </c>
    </row>
    <row r="53">
      <c r="A53" s="12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2" t="n"/>
      <c r="M53" s="13">
        <f>IF($A53="","",IF($L53="",TODAY()-$A53,$L53-$A53))</f>
        <v/>
      </c>
    </row>
    <row r="54">
      <c r="A54" s="12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2" t="n"/>
      <c r="M54" s="13">
        <f>IF($A54="","",IF($L54="",TODAY()-$A54,$L54-$A54))</f>
        <v/>
      </c>
    </row>
    <row r="55">
      <c r="A55" s="12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2" t="n"/>
      <c r="M55" s="13">
        <f>IF($A55="","",IF($L55="",TODAY()-$A55,$L55-$A55))</f>
        <v/>
      </c>
    </row>
    <row r="56">
      <c r="A56" s="12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3">
        <f>IF($A56="","",IF($L56="",TODAY()-$A56,$L56-$A56))</f>
        <v/>
      </c>
    </row>
    <row r="57">
      <c r="A57" s="12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2" t="n"/>
      <c r="M57" s="13">
        <f>IF($A57="","",IF($L57="",TODAY()-$A57,$L57-$A57))</f>
        <v/>
      </c>
    </row>
    <row r="58">
      <c r="A58" s="12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3">
        <f>IF($A58="","",IF($L58="",TODAY()-$A58,$L58-$A58))</f>
        <v/>
      </c>
    </row>
    <row r="59">
      <c r="A59" s="12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2" t="n"/>
      <c r="M59" s="13">
        <f>IF($A59="","",IF($L59="",TODAY()-$A59,$L59-$A59))</f>
        <v/>
      </c>
    </row>
    <row r="60">
      <c r="A60" s="12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3">
        <f>IF($A60="","",IF($L60="",TODAY()-$A60,$L60-$A60))</f>
        <v/>
      </c>
    </row>
    <row r="61">
      <c r="A61" s="12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2" t="n"/>
      <c r="M61" s="13">
        <f>IF($A61="","",IF($L61="",TODAY()-$A61,$L61-$A61))</f>
        <v/>
      </c>
    </row>
    <row r="62">
      <c r="A62" s="12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3">
        <f>IF($A62="","",IF($L62="",TODAY()-$A62,$L62-$A62))</f>
        <v/>
      </c>
    </row>
    <row r="63">
      <c r="A63" s="12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2" t="n"/>
      <c r="M63" s="13">
        <f>IF($A63="","",IF($L63="",TODAY()-$A63,$L63-$A63))</f>
        <v/>
      </c>
    </row>
    <row r="64">
      <c r="A64" s="12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3">
        <f>IF($A64="","",IF($L64="",TODAY()-$A64,$L64-$A64))</f>
        <v/>
      </c>
    </row>
  </sheetData>
  <autoFilter ref="A4:M4"/>
  <dataValidations count="2">
    <dataValidation sqref="E5:E64" showDropDown="0" showInputMessage="0" showErrorMessage="0" allowBlank="1" type="list">
      <formula1>"Missed punch,Early punch,Late punch,Missed meal break,Short meal break,Unapproved overtime,No-show,Unscheduled absence,Shift not worked,PTO not entered,Duplicate punch"</formula1>
    </dataValidation>
    <dataValidation sqref="K5:K64" showDropDown="0" showInputMessage="0" showErrorMessage="0" allowBlank="1" type="list">
      <formula1>"No,YES - off-the-clock work,YES - meal break pattern,YES - OT pattern,YES - manager instructed under-reporting"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4" customWidth="1" min="4" max="4"/>
    <col width="62" customWidth="1" min="5" max="5"/>
    <col width="26" customWidth="1" min="6" max="6"/>
    <col width="20" customWidth="1" min="7" max="7"/>
    <col width="13" customWidth="1" min="8" max="8"/>
    <col width="12" customWidth="1" min="9" max="9"/>
    <col width="12" customWidth="1" min="10" max="10"/>
    <col width="34" customWidth="1" min="11" max="11"/>
  </cols>
  <sheetData>
    <row r="1">
      <c r="A1" s="6" t="inlineStr">
        <is>
          <t>PHASE 4 — EMPLOYEE RELATIONS INTAKE</t>
        </is>
      </c>
    </row>
    <row r="2">
      <c r="A2" s="2" t="inlineStr">
        <is>
          <t>Facts only: date, participants, what was said, what was agreed. No diagnoses, no character judgments.</t>
        </is>
      </c>
    </row>
    <row r="4" ht="30" customHeight="1">
      <c r="A4" s="7" t="inlineStr">
        <is>
          <t>Date</t>
        </is>
      </c>
      <c r="B4" s="7" t="inlineStr">
        <is>
          <t>Employee</t>
        </is>
      </c>
      <c r="C4" s="7" t="inlineStr">
        <is>
          <t>Location</t>
        </is>
      </c>
      <c r="D4" s="7" t="inlineStr">
        <is>
          <t>Category</t>
        </is>
      </c>
      <c r="E4" s="7" t="inlineStr">
        <is>
          <t>Summary (facts only — no conclusions)</t>
        </is>
      </c>
      <c r="F4" s="7" t="inlineStr">
        <is>
          <t>Classification</t>
        </is>
      </c>
      <c r="G4" s="7" t="inlineStr">
        <is>
          <t>Routed To</t>
        </is>
      </c>
      <c r="H4" s="7" t="inlineStr">
        <is>
          <t>Response Due</t>
        </is>
      </c>
      <c r="I4" s="7" t="inlineStr">
        <is>
          <t>Days to Due</t>
        </is>
      </c>
      <c r="J4" s="7" t="inlineStr">
        <is>
          <t>Closed Date</t>
        </is>
      </c>
      <c r="K4" s="7" t="inlineStr">
        <is>
          <t>Outcome</t>
        </is>
      </c>
    </row>
    <row r="5">
      <c r="A5" s="9" t="n">
        <v>46245</v>
      </c>
      <c r="B5" s="8" t="inlineStr">
        <is>
          <t>[Employee]</t>
        </is>
      </c>
      <c r="C5" s="8" t="inlineStr">
        <is>
          <t>Memphis DC</t>
        </is>
      </c>
      <c r="D5" s="8" t="inlineStr">
        <is>
          <t>Pay / payroll question</t>
        </is>
      </c>
      <c r="E5" s="8" t="inlineStr">
        <is>
          <t>Associate states 8/2 shift differential not reflected on 8/8 pay statement. Supervisor confirms shift worked 3p-11p.</t>
        </is>
      </c>
      <c r="F5" s="8" t="inlineStr">
        <is>
          <t>Route</t>
        </is>
      </c>
      <c r="G5" s="8" t="inlineStr">
        <is>
          <t>Payroll</t>
        </is>
      </c>
      <c r="H5" s="9" t="n">
        <v>46247</v>
      </c>
      <c r="I5" s="10">
        <f>IF($H5="","",IF($J5&lt;&gt;"","Closed",$H5-TODAY()))</f>
        <v/>
      </c>
      <c r="J5" s="9" t="n">
        <v>46247</v>
      </c>
      <c r="K5" s="8" t="inlineStr">
        <is>
          <t>Differential corrected on off-cycle; associate notified. EXAMPLE ROW — delete.</t>
        </is>
      </c>
    </row>
    <row r="6">
      <c r="A6" s="12" t="n"/>
      <c r="B6" s="11" t="n"/>
      <c r="C6" s="11" t="n"/>
      <c r="D6" s="11" t="n"/>
      <c r="E6" s="11" t="n"/>
      <c r="F6" s="11" t="n"/>
      <c r="G6" s="11" t="n"/>
      <c r="H6" s="12" t="n"/>
      <c r="I6" s="13">
        <f>IF($H6="","",IF($J6&lt;&gt;"","Closed",$H6-TODAY()))</f>
        <v/>
      </c>
      <c r="J6" s="12" t="n"/>
      <c r="K6" s="11" t="n"/>
    </row>
    <row r="7">
      <c r="A7" s="12" t="n"/>
      <c r="B7" s="11" t="n"/>
      <c r="C7" s="11" t="n"/>
      <c r="D7" s="11" t="n"/>
      <c r="E7" s="11" t="n"/>
      <c r="F7" s="11" t="n"/>
      <c r="G7" s="11" t="n"/>
      <c r="H7" s="12" t="n"/>
      <c r="I7" s="13">
        <f>IF($H7="","",IF($J7&lt;&gt;"","Closed",$H7-TODAY()))</f>
        <v/>
      </c>
      <c r="J7" s="12" t="n"/>
      <c r="K7" s="11" t="n"/>
    </row>
    <row r="8">
      <c r="A8" s="12" t="n"/>
      <c r="B8" s="11" t="n"/>
      <c r="C8" s="11" t="n"/>
      <c r="D8" s="11" t="n"/>
      <c r="E8" s="11" t="n"/>
      <c r="F8" s="11" t="n"/>
      <c r="G8" s="11" t="n"/>
      <c r="H8" s="12" t="n"/>
      <c r="I8" s="13">
        <f>IF($H8="","",IF($J8&lt;&gt;"","Closed",$H8-TODAY()))</f>
        <v/>
      </c>
      <c r="J8" s="12" t="n"/>
      <c r="K8" s="11" t="n"/>
    </row>
    <row r="9">
      <c r="A9" s="12" t="n"/>
      <c r="B9" s="11" t="n"/>
      <c r="C9" s="11" t="n"/>
      <c r="D9" s="11" t="n"/>
      <c r="E9" s="11" t="n"/>
      <c r="F9" s="11" t="n"/>
      <c r="G9" s="11" t="n"/>
      <c r="H9" s="12" t="n"/>
      <c r="I9" s="13">
        <f>IF($H9="","",IF($J9&lt;&gt;"","Closed",$H9-TODAY()))</f>
        <v/>
      </c>
      <c r="J9" s="12" t="n"/>
      <c r="K9" s="11" t="n"/>
    </row>
    <row r="10">
      <c r="A10" s="12" t="n"/>
      <c r="B10" s="11" t="n"/>
      <c r="C10" s="11" t="n"/>
      <c r="D10" s="11" t="n"/>
      <c r="E10" s="11" t="n"/>
      <c r="F10" s="11" t="n"/>
      <c r="G10" s="11" t="n"/>
      <c r="H10" s="12" t="n"/>
      <c r="I10" s="13">
        <f>IF($H10="","",IF($J10&lt;&gt;"","Closed",$H10-TODAY()))</f>
        <v/>
      </c>
      <c r="J10" s="12" t="n"/>
      <c r="K10" s="11" t="n"/>
    </row>
    <row r="11">
      <c r="A11" s="12" t="n"/>
      <c r="B11" s="11" t="n"/>
      <c r="C11" s="11" t="n"/>
      <c r="D11" s="11" t="n"/>
      <c r="E11" s="11" t="n"/>
      <c r="F11" s="11" t="n"/>
      <c r="G11" s="11" t="n"/>
      <c r="H11" s="12" t="n"/>
      <c r="I11" s="13">
        <f>IF($H11="","",IF($J11&lt;&gt;"","Closed",$H11-TODAY()))</f>
        <v/>
      </c>
      <c r="J11" s="12" t="n"/>
      <c r="K11" s="11" t="n"/>
    </row>
    <row r="12">
      <c r="A12" s="12" t="n"/>
      <c r="B12" s="11" t="n"/>
      <c r="C12" s="11" t="n"/>
      <c r="D12" s="11" t="n"/>
      <c r="E12" s="11" t="n"/>
      <c r="F12" s="11" t="n"/>
      <c r="G12" s="11" t="n"/>
      <c r="H12" s="12" t="n"/>
      <c r="I12" s="13">
        <f>IF($H12="","",IF($J12&lt;&gt;"","Closed",$H12-TODAY()))</f>
        <v/>
      </c>
      <c r="J12" s="12" t="n"/>
      <c r="K12" s="11" t="n"/>
    </row>
    <row r="13">
      <c r="A13" s="12" t="n"/>
      <c r="B13" s="11" t="n"/>
      <c r="C13" s="11" t="n"/>
      <c r="D13" s="11" t="n"/>
      <c r="E13" s="11" t="n"/>
      <c r="F13" s="11" t="n"/>
      <c r="G13" s="11" t="n"/>
      <c r="H13" s="12" t="n"/>
      <c r="I13" s="13">
        <f>IF($H13="","",IF($J13&lt;&gt;"","Closed",$H13-TODAY()))</f>
        <v/>
      </c>
      <c r="J13" s="12" t="n"/>
      <c r="K13" s="11" t="n"/>
    </row>
    <row r="14">
      <c r="A14" s="12" t="n"/>
      <c r="B14" s="11" t="n"/>
      <c r="C14" s="11" t="n"/>
      <c r="D14" s="11" t="n"/>
      <c r="E14" s="11" t="n"/>
      <c r="F14" s="11" t="n"/>
      <c r="G14" s="11" t="n"/>
      <c r="H14" s="12" t="n"/>
      <c r="I14" s="13">
        <f>IF($H14="","",IF($J14&lt;&gt;"","Closed",$H14-TODAY()))</f>
        <v/>
      </c>
      <c r="J14" s="12" t="n"/>
      <c r="K14" s="11" t="n"/>
    </row>
    <row r="15">
      <c r="A15" s="12" t="n"/>
      <c r="B15" s="11" t="n"/>
      <c r="C15" s="11" t="n"/>
      <c r="D15" s="11" t="n"/>
      <c r="E15" s="11" t="n"/>
      <c r="F15" s="11" t="n"/>
      <c r="G15" s="11" t="n"/>
      <c r="H15" s="12" t="n"/>
      <c r="I15" s="13">
        <f>IF($H15="","",IF($J15&lt;&gt;"","Closed",$H15-TODAY()))</f>
        <v/>
      </c>
      <c r="J15" s="12" t="n"/>
      <c r="K15" s="11" t="n"/>
    </row>
    <row r="16">
      <c r="A16" s="12" t="n"/>
      <c r="B16" s="11" t="n"/>
      <c r="C16" s="11" t="n"/>
      <c r="D16" s="11" t="n"/>
      <c r="E16" s="11" t="n"/>
      <c r="F16" s="11" t="n"/>
      <c r="G16" s="11" t="n"/>
      <c r="H16" s="12" t="n"/>
      <c r="I16" s="13">
        <f>IF($H16="","",IF($J16&lt;&gt;"","Closed",$H16-TODAY()))</f>
        <v/>
      </c>
      <c r="J16" s="12" t="n"/>
      <c r="K16" s="11" t="n"/>
    </row>
    <row r="17">
      <c r="A17" s="12" t="n"/>
      <c r="B17" s="11" t="n"/>
      <c r="C17" s="11" t="n"/>
      <c r="D17" s="11" t="n"/>
      <c r="E17" s="11" t="n"/>
      <c r="F17" s="11" t="n"/>
      <c r="G17" s="11" t="n"/>
      <c r="H17" s="12" t="n"/>
      <c r="I17" s="13">
        <f>IF($H17="","",IF($J17&lt;&gt;"","Closed",$H17-TODAY()))</f>
        <v/>
      </c>
      <c r="J17" s="12" t="n"/>
      <c r="K17" s="11" t="n"/>
    </row>
    <row r="18">
      <c r="A18" s="12" t="n"/>
      <c r="B18" s="11" t="n"/>
      <c r="C18" s="11" t="n"/>
      <c r="D18" s="11" t="n"/>
      <c r="E18" s="11" t="n"/>
      <c r="F18" s="11" t="n"/>
      <c r="G18" s="11" t="n"/>
      <c r="H18" s="12" t="n"/>
      <c r="I18" s="13">
        <f>IF($H18="","",IF($J18&lt;&gt;"","Closed",$H18-TODAY()))</f>
        <v/>
      </c>
      <c r="J18" s="12" t="n"/>
      <c r="K18" s="11" t="n"/>
    </row>
    <row r="19">
      <c r="A19" s="12" t="n"/>
      <c r="B19" s="11" t="n"/>
      <c r="C19" s="11" t="n"/>
      <c r="D19" s="11" t="n"/>
      <c r="E19" s="11" t="n"/>
      <c r="F19" s="11" t="n"/>
      <c r="G19" s="11" t="n"/>
      <c r="H19" s="12" t="n"/>
      <c r="I19" s="13">
        <f>IF($H19="","",IF($J19&lt;&gt;"","Closed",$H19-TODAY()))</f>
        <v/>
      </c>
      <c r="J19" s="12" t="n"/>
      <c r="K19" s="11" t="n"/>
    </row>
    <row r="20">
      <c r="A20" s="12" t="n"/>
      <c r="B20" s="11" t="n"/>
      <c r="C20" s="11" t="n"/>
      <c r="D20" s="11" t="n"/>
      <c r="E20" s="11" t="n"/>
      <c r="F20" s="11" t="n"/>
      <c r="G20" s="11" t="n"/>
      <c r="H20" s="12" t="n"/>
      <c r="I20" s="13">
        <f>IF($H20="","",IF($J20&lt;&gt;"","Closed",$H20-TODAY()))</f>
        <v/>
      </c>
      <c r="J20" s="12" t="n"/>
      <c r="K20" s="11" t="n"/>
    </row>
    <row r="21">
      <c r="A21" s="12" t="n"/>
      <c r="B21" s="11" t="n"/>
      <c r="C21" s="11" t="n"/>
      <c r="D21" s="11" t="n"/>
      <c r="E21" s="11" t="n"/>
      <c r="F21" s="11" t="n"/>
      <c r="G21" s="11" t="n"/>
      <c r="H21" s="12" t="n"/>
      <c r="I21" s="13">
        <f>IF($H21="","",IF($J21&lt;&gt;"","Closed",$H21-TODAY()))</f>
        <v/>
      </c>
      <c r="J21" s="12" t="n"/>
      <c r="K21" s="11" t="n"/>
    </row>
    <row r="22">
      <c r="A22" s="12" t="n"/>
      <c r="B22" s="11" t="n"/>
      <c r="C22" s="11" t="n"/>
      <c r="D22" s="11" t="n"/>
      <c r="E22" s="11" t="n"/>
      <c r="F22" s="11" t="n"/>
      <c r="G22" s="11" t="n"/>
      <c r="H22" s="12" t="n"/>
      <c r="I22" s="13">
        <f>IF($H22="","",IF($J22&lt;&gt;"","Closed",$H22-TODAY()))</f>
        <v/>
      </c>
      <c r="J22" s="12" t="n"/>
      <c r="K22" s="11" t="n"/>
    </row>
    <row r="23">
      <c r="A23" s="12" t="n"/>
      <c r="B23" s="11" t="n"/>
      <c r="C23" s="11" t="n"/>
      <c r="D23" s="11" t="n"/>
      <c r="E23" s="11" t="n"/>
      <c r="F23" s="11" t="n"/>
      <c r="G23" s="11" t="n"/>
      <c r="H23" s="12" t="n"/>
      <c r="I23" s="13">
        <f>IF($H23="","",IF($J23&lt;&gt;"","Closed",$H23-TODAY()))</f>
        <v/>
      </c>
      <c r="J23" s="12" t="n"/>
      <c r="K23" s="11" t="n"/>
    </row>
    <row r="24">
      <c r="A24" s="12" t="n"/>
      <c r="B24" s="11" t="n"/>
      <c r="C24" s="11" t="n"/>
      <c r="D24" s="11" t="n"/>
      <c r="E24" s="11" t="n"/>
      <c r="F24" s="11" t="n"/>
      <c r="G24" s="11" t="n"/>
      <c r="H24" s="12" t="n"/>
      <c r="I24" s="13">
        <f>IF($H24="","",IF($J24&lt;&gt;"","Closed",$H24-TODAY()))</f>
        <v/>
      </c>
      <c r="J24" s="12" t="n"/>
      <c r="K24" s="11" t="n"/>
    </row>
    <row r="25">
      <c r="A25" s="12" t="n"/>
      <c r="B25" s="11" t="n"/>
      <c r="C25" s="11" t="n"/>
      <c r="D25" s="11" t="n"/>
      <c r="E25" s="11" t="n"/>
      <c r="F25" s="11" t="n"/>
      <c r="G25" s="11" t="n"/>
      <c r="H25" s="12" t="n"/>
      <c r="I25" s="13">
        <f>IF($H25="","",IF($J25&lt;&gt;"","Closed",$H25-TODAY()))</f>
        <v/>
      </c>
      <c r="J25" s="12" t="n"/>
      <c r="K25" s="11" t="n"/>
    </row>
    <row r="26">
      <c r="A26" s="12" t="n"/>
      <c r="B26" s="11" t="n"/>
      <c r="C26" s="11" t="n"/>
      <c r="D26" s="11" t="n"/>
      <c r="E26" s="11" t="n"/>
      <c r="F26" s="11" t="n"/>
      <c r="G26" s="11" t="n"/>
      <c r="H26" s="12" t="n"/>
      <c r="I26" s="13">
        <f>IF($H26="","",IF($J26&lt;&gt;"","Closed",$H26-TODAY()))</f>
        <v/>
      </c>
      <c r="J26" s="12" t="n"/>
      <c r="K26" s="11" t="n"/>
    </row>
    <row r="27">
      <c r="A27" s="12" t="n"/>
      <c r="B27" s="11" t="n"/>
      <c r="C27" s="11" t="n"/>
      <c r="D27" s="11" t="n"/>
      <c r="E27" s="11" t="n"/>
      <c r="F27" s="11" t="n"/>
      <c r="G27" s="11" t="n"/>
      <c r="H27" s="12" t="n"/>
      <c r="I27" s="13">
        <f>IF($H27="","",IF($J27&lt;&gt;"","Closed",$H27-TODAY()))</f>
        <v/>
      </c>
      <c r="J27" s="12" t="n"/>
      <c r="K27" s="11" t="n"/>
    </row>
    <row r="28">
      <c r="A28" s="12" t="n"/>
      <c r="B28" s="11" t="n"/>
      <c r="C28" s="11" t="n"/>
      <c r="D28" s="11" t="n"/>
      <c r="E28" s="11" t="n"/>
      <c r="F28" s="11" t="n"/>
      <c r="G28" s="11" t="n"/>
      <c r="H28" s="12" t="n"/>
      <c r="I28" s="13">
        <f>IF($H28="","",IF($J28&lt;&gt;"","Closed",$H28-TODAY()))</f>
        <v/>
      </c>
      <c r="J28" s="12" t="n"/>
      <c r="K28" s="11" t="n"/>
    </row>
    <row r="29">
      <c r="A29" s="12" t="n"/>
      <c r="B29" s="11" t="n"/>
      <c r="C29" s="11" t="n"/>
      <c r="D29" s="11" t="n"/>
      <c r="E29" s="11" t="n"/>
      <c r="F29" s="11" t="n"/>
      <c r="G29" s="11" t="n"/>
      <c r="H29" s="12" t="n"/>
      <c r="I29" s="13">
        <f>IF($H29="","",IF($J29&lt;&gt;"","Closed",$H29-TODAY()))</f>
        <v/>
      </c>
      <c r="J29" s="12" t="n"/>
      <c r="K29" s="11" t="n"/>
    </row>
    <row r="30">
      <c r="A30" s="12" t="n"/>
      <c r="B30" s="11" t="n"/>
      <c r="C30" s="11" t="n"/>
      <c r="D30" s="11" t="n"/>
      <c r="E30" s="11" t="n"/>
      <c r="F30" s="11" t="n"/>
      <c r="G30" s="11" t="n"/>
      <c r="H30" s="12" t="n"/>
      <c r="I30" s="13">
        <f>IF($H30="","",IF($J30&lt;&gt;"","Closed",$H30-TODAY()))</f>
        <v/>
      </c>
      <c r="J30" s="12" t="n"/>
      <c r="K30" s="11" t="n"/>
    </row>
    <row r="31">
      <c r="A31" s="12" t="n"/>
      <c r="B31" s="11" t="n"/>
      <c r="C31" s="11" t="n"/>
      <c r="D31" s="11" t="n"/>
      <c r="E31" s="11" t="n"/>
      <c r="F31" s="11" t="n"/>
      <c r="G31" s="11" t="n"/>
      <c r="H31" s="12" t="n"/>
      <c r="I31" s="13">
        <f>IF($H31="","",IF($J31&lt;&gt;"","Closed",$H31-TODAY()))</f>
        <v/>
      </c>
      <c r="J31" s="12" t="n"/>
      <c r="K31" s="11" t="n"/>
    </row>
    <row r="32">
      <c r="A32" s="12" t="n"/>
      <c r="B32" s="11" t="n"/>
      <c r="C32" s="11" t="n"/>
      <c r="D32" s="11" t="n"/>
      <c r="E32" s="11" t="n"/>
      <c r="F32" s="11" t="n"/>
      <c r="G32" s="11" t="n"/>
      <c r="H32" s="12" t="n"/>
      <c r="I32" s="13">
        <f>IF($H32="","",IF($J32&lt;&gt;"","Closed",$H32-TODAY()))</f>
        <v/>
      </c>
      <c r="J32" s="12" t="n"/>
      <c r="K32" s="11" t="n"/>
    </row>
    <row r="33">
      <c r="A33" s="12" t="n"/>
      <c r="B33" s="11" t="n"/>
      <c r="C33" s="11" t="n"/>
      <c r="D33" s="11" t="n"/>
      <c r="E33" s="11" t="n"/>
      <c r="F33" s="11" t="n"/>
      <c r="G33" s="11" t="n"/>
      <c r="H33" s="12" t="n"/>
      <c r="I33" s="13">
        <f>IF($H33="","",IF($J33&lt;&gt;"","Closed",$H33-TODAY()))</f>
        <v/>
      </c>
      <c r="J33" s="12" t="n"/>
      <c r="K33" s="11" t="n"/>
    </row>
    <row r="34">
      <c r="A34" s="12" t="n"/>
      <c r="B34" s="11" t="n"/>
      <c r="C34" s="11" t="n"/>
      <c r="D34" s="11" t="n"/>
      <c r="E34" s="11" t="n"/>
      <c r="F34" s="11" t="n"/>
      <c r="G34" s="11" t="n"/>
      <c r="H34" s="12" t="n"/>
      <c r="I34" s="13">
        <f>IF($H34="","",IF($J34&lt;&gt;"","Closed",$H34-TODAY()))</f>
        <v/>
      </c>
      <c r="J34" s="12" t="n"/>
      <c r="K34" s="11" t="n"/>
    </row>
    <row r="35">
      <c r="A35" s="12" t="n"/>
      <c r="B35" s="11" t="n"/>
      <c r="C35" s="11" t="n"/>
      <c r="D35" s="11" t="n"/>
      <c r="E35" s="11" t="n"/>
      <c r="F35" s="11" t="n"/>
      <c r="G35" s="11" t="n"/>
      <c r="H35" s="12" t="n"/>
      <c r="I35" s="13">
        <f>IF($H35="","",IF($J35&lt;&gt;"","Closed",$H35-TODAY()))</f>
        <v/>
      </c>
      <c r="J35" s="12" t="n"/>
      <c r="K35" s="11" t="n"/>
    </row>
    <row r="36">
      <c r="A36" s="12" t="n"/>
      <c r="B36" s="11" t="n"/>
      <c r="C36" s="11" t="n"/>
      <c r="D36" s="11" t="n"/>
      <c r="E36" s="11" t="n"/>
      <c r="F36" s="11" t="n"/>
      <c r="G36" s="11" t="n"/>
      <c r="H36" s="12" t="n"/>
      <c r="I36" s="13">
        <f>IF($H36="","",IF($J36&lt;&gt;"","Closed",$H36-TODAY()))</f>
        <v/>
      </c>
      <c r="J36" s="12" t="n"/>
      <c r="K36" s="11" t="n"/>
    </row>
    <row r="37">
      <c r="A37" s="12" t="n"/>
      <c r="B37" s="11" t="n"/>
      <c r="C37" s="11" t="n"/>
      <c r="D37" s="11" t="n"/>
      <c r="E37" s="11" t="n"/>
      <c r="F37" s="11" t="n"/>
      <c r="G37" s="11" t="n"/>
      <c r="H37" s="12" t="n"/>
      <c r="I37" s="13">
        <f>IF($H37="","",IF($J37&lt;&gt;"","Closed",$H37-TODAY()))</f>
        <v/>
      </c>
      <c r="J37" s="12" t="n"/>
      <c r="K37" s="11" t="n"/>
    </row>
    <row r="38">
      <c r="A38" s="12" t="n"/>
      <c r="B38" s="11" t="n"/>
      <c r="C38" s="11" t="n"/>
      <c r="D38" s="11" t="n"/>
      <c r="E38" s="11" t="n"/>
      <c r="F38" s="11" t="n"/>
      <c r="G38" s="11" t="n"/>
      <c r="H38" s="12" t="n"/>
      <c r="I38" s="13">
        <f>IF($H38="","",IF($J38&lt;&gt;"","Closed",$H38-TODAY()))</f>
        <v/>
      </c>
      <c r="J38" s="12" t="n"/>
      <c r="K38" s="11" t="n"/>
    </row>
    <row r="39">
      <c r="A39" s="12" t="n"/>
      <c r="B39" s="11" t="n"/>
      <c r="C39" s="11" t="n"/>
      <c r="D39" s="11" t="n"/>
      <c r="E39" s="11" t="n"/>
      <c r="F39" s="11" t="n"/>
      <c r="G39" s="11" t="n"/>
      <c r="H39" s="12" t="n"/>
      <c r="I39" s="13">
        <f>IF($H39="","",IF($J39&lt;&gt;"","Closed",$H39-TODAY()))</f>
        <v/>
      </c>
      <c r="J39" s="12" t="n"/>
      <c r="K39" s="11" t="n"/>
    </row>
    <row r="40">
      <c r="A40" s="12" t="n"/>
      <c r="B40" s="11" t="n"/>
      <c r="C40" s="11" t="n"/>
      <c r="D40" s="11" t="n"/>
      <c r="E40" s="11" t="n"/>
      <c r="F40" s="11" t="n"/>
      <c r="G40" s="11" t="n"/>
      <c r="H40" s="12" t="n"/>
      <c r="I40" s="13">
        <f>IF($H40="","",IF($J40&lt;&gt;"","Closed",$H40-TODAY()))</f>
        <v/>
      </c>
      <c r="J40" s="12" t="n"/>
      <c r="K40" s="11" t="n"/>
    </row>
    <row r="41">
      <c r="A41" s="12" t="n"/>
      <c r="B41" s="11" t="n"/>
      <c r="C41" s="11" t="n"/>
      <c r="D41" s="11" t="n"/>
      <c r="E41" s="11" t="n"/>
      <c r="F41" s="11" t="n"/>
      <c r="G41" s="11" t="n"/>
      <c r="H41" s="12" t="n"/>
      <c r="I41" s="13">
        <f>IF($H41="","",IF($J41&lt;&gt;"","Closed",$H41-TODAY()))</f>
        <v/>
      </c>
      <c r="J41" s="12" t="n"/>
      <c r="K41" s="11" t="n"/>
    </row>
    <row r="42">
      <c r="A42" s="12" t="n"/>
      <c r="B42" s="11" t="n"/>
      <c r="C42" s="11" t="n"/>
      <c r="D42" s="11" t="n"/>
      <c r="E42" s="11" t="n"/>
      <c r="F42" s="11" t="n"/>
      <c r="G42" s="11" t="n"/>
      <c r="H42" s="12" t="n"/>
      <c r="I42" s="13">
        <f>IF($H42="","",IF($J42&lt;&gt;"","Closed",$H42-TODAY()))</f>
        <v/>
      </c>
      <c r="J42" s="12" t="n"/>
      <c r="K42" s="11" t="n"/>
    </row>
    <row r="43">
      <c r="A43" s="12" t="n"/>
      <c r="B43" s="11" t="n"/>
      <c r="C43" s="11" t="n"/>
      <c r="D43" s="11" t="n"/>
      <c r="E43" s="11" t="n"/>
      <c r="F43" s="11" t="n"/>
      <c r="G43" s="11" t="n"/>
      <c r="H43" s="12" t="n"/>
      <c r="I43" s="13">
        <f>IF($H43="","",IF($J43&lt;&gt;"","Closed",$H43-TODAY()))</f>
        <v/>
      </c>
      <c r="J43" s="12" t="n"/>
      <c r="K43" s="11" t="n"/>
    </row>
    <row r="44">
      <c r="A44" s="12" t="n"/>
      <c r="B44" s="11" t="n"/>
      <c r="C44" s="11" t="n"/>
      <c r="D44" s="11" t="n"/>
      <c r="E44" s="11" t="n"/>
      <c r="F44" s="11" t="n"/>
      <c r="G44" s="11" t="n"/>
      <c r="H44" s="12" t="n"/>
      <c r="I44" s="13">
        <f>IF($H44="","",IF($J44&lt;&gt;"","Closed",$H44-TODAY()))</f>
        <v/>
      </c>
      <c r="J44" s="12" t="n"/>
      <c r="K44" s="11" t="n"/>
    </row>
    <row r="45">
      <c r="A45" s="12" t="n"/>
      <c r="B45" s="11" t="n"/>
      <c r="C45" s="11" t="n"/>
      <c r="D45" s="11" t="n"/>
      <c r="E45" s="11" t="n"/>
      <c r="F45" s="11" t="n"/>
      <c r="G45" s="11" t="n"/>
      <c r="H45" s="12" t="n"/>
      <c r="I45" s="13">
        <f>IF($H45="","",IF($J45&lt;&gt;"","Closed",$H45-TODAY()))</f>
        <v/>
      </c>
      <c r="J45" s="12" t="n"/>
      <c r="K45" s="11" t="n"/>
    </row>
    <row r="46">
      <c r="A46" s="12" t="n"/>
      <c r="B46" s="11" t="n"/>
      <c r="C46" s="11" t="n"/>
      <c r="D46" s="11" t="n"/>
      <c r="E46" s="11" t="n"/>
      <c r="F46" s="11" t="n"/>
      <c r="G46" s="11" t="n"/>
      <c r="H46" s="12" t="n"/>
      <c r="I46" s="13">
        <f>IF($H46="","",IF($J46&lt;&gt;"","Closed",$H46-TODAY()))</f>
        <v/>
      </c>
      <c r="J46" s="12" t="n"/>
      <c r="K46" s="11" t="n"/>
    </row>
    <row r="47">
      <c r="A47" s="12" t="n"/>
      <c r="B47" s="11" t="n"/>
      <c r="C47" s="11" t="n"/>
      <c r="D47" s="11" t="n"/>
      <c r="E47" s="11" t="n"/>
      <c r="F47" s="11" t="n"/>
      <c r="G47" s="11" t="n"/>
      <c r="H47" s="12" t="n"/>
      <c r="I47" s="13">
        <f>IF($H47="","",IF($J47&lt;&gt;"","Closed",$H47-TODAY()))</f>
        <v/>
      </c>
      <c r="J47" s="12" t="n"/>
      <c r="K47" s="11" t="n"/>
    </row>
    <row r="48">
      <c r="A48" s="12" t="n"/>
      <c r="B48" s="11" t="n"/>
      <c r="C48" s="11" t="n"/>
      <c r="D48" s="11" t="n"/>
      <c r="E48" s="11" t="n"/>
      <c r="F48" s="11" t="n"/>
      <c r="G48" s="11" t="n"/>
      <c r="H48" s="12" t="n"/>
      <c r="I48" s="13">
        <f>IF($H48="","",IF($J48&lt;&gt;"","Closed",$H48-TODAY()))</f>
        <v/>
      </c>
      <c r="J48" s="12" t="n"/>
      <c r="K48" s="11" t="n"/>
    </row>
    <row r="49">
      <c r="A49" s="12" t="n"/>
      <c r="B49" s="11" t="n"/>
      <c r="C49" s="11" t="n"/>
      <c r="D49" s="11" t="n"/>
      <c r="E49" s="11" t="n"/>
      <c r="F49" s="11" t="n"/>
      <c r="G49" s="11" t="n"/>
      <c r="H49" s="12" t="n"/>
      <c r="I49" s="13">
        <f>IF($H49="","",IF($J49&lt;&gt;"","Closed",$H49-TODAY()))</f>
        <v/>
      </c>
      <c r="J49" s="12" t="n"/>
      <c r="K49" s="11" t="n"/>
    </row>
    <row r="50">
      <c r="A50" s="12" t="n"/>
      <c r="B50" s="11" t="n"/>
      <c r="C50" s="11" t="n"/>
      <c r="D50" s="11" t="n"/>
      <c r="E50" s="11" t="n"/>
      <c r="F50" s="11" t="n"/>
      <c r="G50" s="11" t="n"/>
      <c r="H50" s="12" t="n"/>
      <c r="I50" s="13">
        <f>IF($H50="","",IF($J50&lt;&gt;"","Closed",$H50-TODAY()))</f>
        <v/>
      </c>
      <c r="J50" s="12" t="n"/>
      <c r="K50" s="11" t="n"/>
    </row>
    <row r="51">
      <c r="A51" s="12" t="n"/>
      <c r="B51" s="11" t="n"/>
      <c r="C51" s="11" t="n"/>
      <c r="D51" s="11" t="n"/>
      <c r="E51" s="11" t="n"/>
      <c r="F51" s="11" t="n"/>
      <c r="G51" s="11" t="n"/>
      <c r="H51" s="12" t="n"/>
      <c r="I51" s="13">
        <f>IF($H51="","",IF($J51&lt;&gt;"","Closed",$H51-TODAY()))</f>
        <v/>
      </c>
      <c r="J51" s="12" t="n"/>
      <c r="K51" s="11" t="n"/>
    </row>
    <row r="52">
      <c r="A52" s="12" t="n"/>
      <c r="B52" s="11" t="n"/>
      <c r="C52" s="11" t="n"/>
      <c r="D52" s="11" t="n"/>
      <c r="E52" s="11" t="n"/>
      <c r="F52" s="11" t="n"/>
      <c r="G52" s="11" t="n"/>
      <c r="H52" s="12" t="n"/>
      <c r="I52" s="13">
        <f>IF($H52="","",IF($J52&lt;&gt;"","Closed",$H52-TODAY()))</f>
        <v/>
      </c>
      <c r="J52" s="12" t="n"/>
      <c r="K52" s="11" t="n"/>
    </row>
    <row r="53">
      <c r="A53" s="12" t="n"/>
      <c r="B53" s="11" t="n"/>
      <c r="C53" s="11" t="n"/>
      <c r="D53" s="11" t="n"/>
      <c r="E53" s="11" t="n"/>
      <c r="F53" s="11" t="n"/>
      <c r="G53" s="11" t="n"/>
      <c r="H53" s="12" t="n"/>
      <c r="I53" s="13">
        <f>IF($H53="","",IF($J53&lt;&gt;"","Closed",$H53-TODAY()))</f>
        <v/>
      </c>
      <c r="J53" s="12" t="n"/>
      <c r="K53" s="11" t="n"/>
    </row>
    <row r="54">
      <c r="A54" s="12" t="n"/>
      <c r="B54" s="11" t="n"/>
      <c r="C54" s="11" t="n"/>
      <c r="D54" s="11" t="n"/>
      <c r="E54" s="11" t="n"/>
      <c r="F54" s="11" t="n"/>
      <c r="G54" s="11" t="n"/>
      <c r="H54" s="12" t="n"/>
      <c r="I54" s="13">
        <f>IF($H54="","",IF($J54&lt;&gt;"","Closed",$H54-TODAY()))</f>
        <v/>
      </c>
      <c r="J54" s="12" t="n"/>
      <c r="K54" s="11" t="n"/>
    </row>
    <row r="55">
      <c r="A55" s="12" t="n"/>
      <c r="B55" s="11" t="n"/>
      <c r="C55" s="11" t="n"/>
      <c r="D55" s="11" t="n"/>
      <c r="E55" s="11" t="n"/>
      <c r="F55" s="11" t="n"/>
      <c r="G55" s="11" t="n"/>
      <c r="H55" s="12" t="n"/>
      <c r="I55" s="13">
        <f>IF($H55="","",IF($J55&lt;&gt;"","Closed",$H55-TODAY()))</f>
        <v/>
      </c>
      <c r="J55" s="12" t="n"/>
      <c r="K55" s="11" t="n"/>
    </row>
    <row r="56">
      <c r="A56" s="12" t="n"/>
      <c r="B56" s="11" t="n"/>
      <c r="C56" s="11" t="n"/>
      <c r="D56" s="11" t="n"/>
      <c r="E56" s="11" t="n"/>
      <c r="F56" s="11" t="n"/>
      <c r="G56" s="11" t="n"/>
      <c r="H56" s="12" t="n"/>
      <c r="I56" s="13">
        <f>IF($H56="","",IF($J56&lt;&gt;"","Closed",$H56-TODAY()))</f>
        <v/>
      </c>
      <c r="J56" s="12" t="n"/>
      <c r="K56" s="11" t="n"/>
    </row>
    <row r="57">
      <c r="A57" s="12" t="n"/>
      <c r="B57" s="11" t="n"/>
      <c r="C57" s="11" t="n"/>
      <c r="D57" s="11" t="n"/>
      <c r="E57" s="11" t="n"/>
      <c r="F57" s="11" t="n"/>
      <c r="G57" s="11" t="n"/>
      <c r="H57" s="12" t="n"/>
      <c r="I57" s="13">
        <f>IF($H57="","",IF($J57&lt;&gt;"","Closed",$H57-TODAY()))</f>
        <v/>
      </c>
      <c r="J57" s="12" t="n"/>
      <c r="K57" s="11" t="n"/>
    </row>
    <row r="58">
      <c r="A58" s="12" t="n"/>
      <c r="B58" s="11" t="n"/>
      <c r="C58" s="11" t="n"/>
      <c r="D58" s="11" t="n"/>
      <c r="E58" s="11" t="n"/>
      <c r="F58" s="11" t="n"/>
      <c r="G58" s="11" t="n"/>
      <c r="H58" s="12" t="n"/>
      <c r="I58" s="13">
        <f>IF($H58="","",IF($J58&lt;&gt;"","Closed",$H58-TODAY()))</f>
        <v/>
      </c>
      <c r="J58" s="12" t="n"/>
      <c r="K58" s="11" t="n"/>
    </row>
    <row r="59">
      <c r="A59" s="12" t="n"/>
      <c r="B59" s="11" t="n"/>
      <c r="C59" s="11" t="n"/>
      <c r="D59" s="11" t="n"/>
      <c r="E59" s="11" t="n"/>
      <c r="F59" s="11" t="n"/>
      <c r="G59" s="11" t="n"/>
      <c r="H59" s="12" t="n"/>
      <c r="I59" s="13">
        <f>IF($H59="","",IF($J59&lt;&gt;"","Closed",$H59-TODAY()))</f>
        <v/>
      </c>
      <c r="J59" s="12" t="n"/>
      <c r="K59" s="11" t="n"/>
    </row>
    <row r="60">
      <c r="A60" s="12" t="n"/>
      <c r="B60" s="11" t="n"/>
      <c r="C60" s="11" t="n"/>
      <c r="D60" s="11" t="n"/>
      <c r="E60" s="11" t="n"/>
      <c r="F60" s="11" t="n"/>
      <c r="G60" s="11" t="n"/>
      <c r="H60" s="12" t="n"/>
      <c r="I60" s="13">
        <f>IF($H60="","",IF($J60&lt;&gt;"","Closed",$H60-TODAY()))</f>
        <v/>
      </c>
      <c r="J60" s="12" t="n"/>
      <c r="K60" s="11" t="n"/>
    </row>
    <row r="61">
      <c r="A61" s="12" t="n"/>
      <c r="B61" s="11" t="n"/>
      <c r="C61" s="11" t="n"/>
      <c r="D61" s="11" t="n"/>
      <c r="E61" s="11" t="n"/>
      <c r="F61" s="11" t="n"/>
      <c r="G61" s="11" t="n"/>
      <c r="H61" s="12" t="n"/>
      <c r="I61" s="13">
        <f>IF($H61="","",IF($J61&lt;&gt;"","Closed",$H61-TODAY()))</f>
        <v/>
      </c>
      <c r="J61" s="12" t="n"/>
      <c r="K61" s="11" t="n"/>
    </row>
    <row r="62">
      <c r="A62" s="12" t="n"/>
      <c r="B62" s="11" t="n"/>
      <c r="C62" s="11" t="n"/>
      <c r="D62" s="11" t="n"/>
      <c r="E62" s="11" t="n"/>
      <c r="F62" s="11" t="n"/>
      <c r="G62" s="11" t="n"/>
      <c r="H62" s="12" t="n"/>
      <c r="I62" s="13">
        <f>IF($H62="","",IF($J62&lt;&gt;"","Closed",$H62-TODAY()))</f>
        <v/>
      </c>
      <c r="J62" s="12" t="n"/>
      <c r="K62" s="11" t="n"/>
    </row>
    <row r="63">
      <c r="A63" s="12" t="n"/>
      <c r="B63" s="11" t="n"/>
      <c r="C63" s="11" t="n"/>
      <c r="D63" s="11" t="n"/>
      <c r="E63" s="11" t="n"/>
      <c r="F63" s="11" t="n"/>
      <c r="G63" s="11" t="n"/>
      <c r="H63" s="12" t="n"/>
      <c r="I63" s="13">
        <f>IF($H63="","",IF($J63&lt;&gt;"","Closed",$H63-TODAY()))</f>
        <v/>
      </c>
      <c r="J63" s="12" t="n"/>
      <c r="K63" s="11" t="n"/>
    </row>
    <row r="64">
      <c r="A64" s="12" t="n"/>
      <c r="B64" s="11" t="n"/>
      <c r="C64" s="11" t="n"/>
      <c r="D64" s="11" t="n"/>
      <c r="E64" s="11" t="n"/>
      <c r="F64" s="11" t="n"/>
      <c r="G64" s="11" t="n"/>
      <c r="H64" s="12" t="n"/>
      <c r="I64" s="13">
        <f>IF($H64="","",IF($J64&lt;&gt;"","Closed",$H64-TODAY()))</f>
        <v/>
      </c>
      <c r="J64" s="12" t="n"/>
      <c r="K64" s="11" t="n"/>
    </row>
    <row r="65">
      <c r="A65" s="22" t="n"/>
      <c r="H65" s="22" t="n"/>
      <c r="J65" s="22" t="n"/>
    </row>
    <row r="66">
      <c r="A66" s="22" t="n"/>
      <c r="E66" s="23" t="inlineStr">
        <is>
          <t>Escalate immediately and stop handling: harassment, discrimination, retaliation, safety threats, wage &amp; hour, accommodation/leave, substance issues, theft/fraud, or anything with a manager as the subject.</t>
        </is>
      </c>
      <c r="H66" s="22" t="n"/>
      <c r="J66" s="22" t="n"/>
    </row>
  </sheetData>
  <autoFilter ref="A4:K4"/>
  <dataValidations count="2">
    <dataValidation sqref="F5:F64" showDropDown="0" showInputMessage="0" showErrorMessage="0" allowBlank="1" type="list">
      <formula1>"Answer now,Route,ESCALATE - stop handling"</formula1>
    </dataValidation>
    <dataValidation sqref="D5:D64" showDropDown="0" showInputMessage="0" showErrorMessage="0" allowBlank="1" type="list">
      <formula1>"Pay / payroll question,Benefits question,Policy clarification,Schedule / availability,Interpersonal conflict,Manager concern,Harassment / discrimination,Retaliation,Safety hazard or threat,Wage &amp; hour,Accommodation / leave request,Theft / fraud,Other"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1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40" customWidth="1" min="9" max="9"/>
    <col width="44" customWidth="1" min="10" max="10"/>
    <col width="14" customWidth="1" min="11" max="11"/>
  </cols>
  <sheetData>
    <row r="1">
      <c r="A1" s="6" t="inlineStr">
        <is>
          <t>PHASE 5 — RECRUITING &amp; HR SCORECARD</t>
        </is>
      </c>
    </row>
    <row r="2">
      <c r="A2" s="2" t="inlineStr">
        <is>
          <t>A metric without a named bottleneck and a recommended action is not a report.</t>
        </is>
      </c>
    </row>
    <row r="4" ht="30" customHeight="1">
      <c r="A4" s="7" t="inlineStr">
        <is>
          <t>KPI</t>
        </is>
      </c>
      <c r="B4" s="7" t="inlineStr">
        <is>
          <t>Definition</t>
        </is>
      </c>
      <c r="C4" s="7" t="inlineStr">
        <is>
          <t>Current</t>
        </is>
      </c>
      <c r="D4" s="7" t="inlineStr">
        <is>
          <t>Prior Period</t>
        </is>
      </c>
      <c r="E4" s="7" t="inlineStr">
        <is>
          <t>Target</t>
        </is>
      </c>
      <c r="F4" s="7" t="inlineStr">
        <is>
          <t>Variance vs Target</t>
        </is>
      </c>
      <c r="G4" s="7" t="inlineStr">
        <is>
          <t>Direction</t>
        </is>
      </c>
      <c r="H4" s="7" t="inlineStr">
        <is>
          <t>Status</t>
        </is>
      </c>
      <c r="I4" s="7" t="inlineStr">
        <is>
          <t>Bottleneck Note</t>
        </is>
      </c>
      <c r="J4" s="7" t="inlineStr">
        <is>
          <t>Recommended Action</t>
        </is>
      </c>
      <c r="K4" s="7" t="inlineStr">
        <is>
          <t>Owner</t>
        </is>
      </c>
    </row>
    <row r="5">
      <c r="A5" s="20" t="inlineStr">
        <is>
          <t>Time to fill (days)</t>
        </is>
      </c>
      <c r="B5" s="20" t="inlineStr">
        <is>
          <t>Req open to offer accepted</t>
        </is>
      </c>
      <c r="C5" s="18" t="n"/>
      <c r="D5" s="18" t="n"/>
      <c r="E5" s="11" t="n">
        <v>35</v>
      </c>
      <c r="F5" s="13">
        <f>IF(OR($C5="",$E5=""),"",$C5-$E5)</f>
        <v/>
      </c>
      <c r="G5" s="13">
        <f>IF(OR($C5="",$D5=""),"",IF($C5&gt;$D5,"Up vs prior",IF($C5&lt;$D5,"Down vs prior","Flat")))</f>
        <v/>
      </c>
      <c r="H5" s="13">
        <f>IF(OR($C5="",$E5=""),"",IF($C5&lt;=$E5,"ON TARGET",IF($C5&lt;=$E5*1.15,"WATCH","OFF TARGET")))</f>
        <v/>
      </c>
      <c r="I5" s="17" t="n"/>
      <c r="J5" s="17" t="n"/>
      <c r="K5" s="17" t="n"/>
    </row>
    <row r="6">
      <c r="A6" s="20" t="inlineStr">
        <is>
          <t>Time to hire (days)</t>
        </is>
      </c>
      <c r="B6" s="20" t="inlineStr">
        <is>
          <t>First candidate contact to offer accepted</t>
        </is>
      </c>
      <c r="C6" s="18" t="n"/>
      <c r="D6" s="18" t="n"/>
      <c r="E6" s="11" t="n">
        <v>21</v>
      </c>
      <c r="F6" s="13">
        <f>IF(OR($C6="",$E6=""),"",$C6-$E6)</f>
        <v/>
      </c>
      <c r="G6" s="13">
        <f>IF(OR($C6="",$D6=""),"",IF($C6&gt;$D6,"Up vs prior",IF($C6&lt;$D6,"Down vs prior","Flat")))</f>
        <v/>
      </c>
      <c r="H6" s="13">
        <f>IF(OR($C6="",$E6=""),"",IF($C6&lt;=$E6,"ON TARGET",IF($C6&lt;=$E6*1.15,"WATCH","OFF TARGET")))</f>
        <v/>
      </c>
      <c r="I6" s="17" t="n"/>
      <c r="J6" s="17" t="n"/>
      <c r="K6" s="17" t="n"/>
    </row>
    <row r="7">
      <c r="A7" s="20" t="inlineStr">
        <is>
          <t>Cost per hire ($)</t>
        </is>
      </c>
      <c r="B7" s="20" t="inlineStr">
        <is>
          <t>Total recruiting spend / hires</t>
        </is>
      </c>
      <c r="C7" s="18" t="n"/>
      <c r="D7" s="18" t="n"/>
      <c r="E7" s="11" t="n">
        <v>1200</v>
      </c>
      <c r="F7" s="13">
        <f>IF(OR($C7="",$E7=""),"",$C7-$E7)</f>
        <v/>
      </c>
      <c r="G7" s="13">
        <f>IF(OR($C7="",$D7=""),"",IF($C7&gt;$D7,"Up vs prior",IF($C7&lt;$D7,"Down vs prior","Flat")))</f>
        <v/>
      </c>
      <c r="H7" s="13">
        <f>IF(OR($C7="",$E7=""),"",IF($C7&lt;=$E7,"ON TARGET",IF($C7&lt;=$E7*1.15,"WATCH","OFF TARGET")))</f>
        <v/>
      </c>
      <c r="I7" s="17" t="n"/>
      <c r="J7" s="17" t="n"/>
      <c r="K7" s="17" t="n"/>
    </row>
    <row r="8">
      <c r="A8" s="20" t="inlineStr">
        <is>
          <t>Offer acceptance rate (%)</t>
        </is>
      </c>
      <c r="B8" s="20" t="inlineStr">
        <is>
          <t>Accepted / extended</t>
        </is>
      </c>
      <c r="C8" s="18" t="n"/>
      <c r="D8" s="18" t="n"/>
      <c r="E8" s="11" t="n">
        <v>88</v>
      </c>
      <c r="F8" s="13">
        <f>IF(OR($C8="",$E8=""),"",$C8-$E8)</f>
        <v/>
      </c>
      <c r="G8" s="13">
        <f>IF(OR($C8="",$D8=""),"",IF($C8&gt;$D8,"Up vs prior",IF($C8&lt;$D8,"Down vs prior","Flat")))</f>
        <v/>
      </c>
      <c r="H8" s="13">
        <f>IF(OR($C8="",$E8=""),"",IF($C8&gt;=$E8,"ON TARGET",IF($C8&gt;=$E8*0.85,"WATCH","OFF TARGET")))</f>
        <v/>
      </c>
      <c r="I8" s="17" t="n"/>
      <c r="J8" s="17" t="n"/>
      <c r="K8" s="17" t="n"/>
    </row>
    <row r="9">
      <c r="A9" s="20" t="inlineStr">
        <is>
          <t>Funnel: screen to interview (%)</t>
        </is>
      </c>
      <c r="B9" s="20" t="inlineStr">
        <is>
          <t>Interviewed / screened</t>
        </is>
      </c>
      <c r="C9" s="18" t="n"/>
      <c r="D9" s="18" t="n"/>
      <c r="E9" s="11" t="n">
        <v>45</v>
      </c>
      <c r="F9" s="13">
        <f>IF(OR($C9="",$E9=""),"",$C9-$E9)</f>
        <v/>
      </c>
      <c r="G9" s="13">
        <f>IF(OR($C9="",$D9=""),"",IF($C9&gt;$D9,"Up vs prior",IF($C9&lt;$D9,"Down vs prior","Flat")))</f>
        <v/>
      </c>
      <c r="H9" s="13">
        <f>IF(OR($C9="",$E9=""),"",IF($C9&gt;=$E9,"ON TARGET",IF($C9&gt;=$E9*0.85,"WATCH","OFF TARGET")))</f>
        <v/>
      </c>
      <c r="I9" s="17" t="n"/>
      <c r="J9" s="17" t="n"/>
      <c r="K9" s="17" t="n"/>
    </row>
    <row r="10">
      <c r="A10" s="20" t="inlineStr">
        <is>
          <t>Funnel: interview to offer (%)</t>
        </is>
      </c>
      <c r="B10" s="20" t="inlineStr">
        <is>
          <t>Offered / interviewed</t>
        </is>
      </c>
      <c r="C10" s="18" t="n"/>
      <c r="D10" s="18" t="n"/>
      <c r="E10" s="11" t="n">
        <v>30</v>
      </c>
      <c r="F10" s="13">
        <f>IF(OR($C10="",$E10=""),"",$C10-$E10)</f>
        <v/>
      </c>
      <c r="G10" s="13">
        <f>IF(OR($C10="",$D10=""),"",IF($C10&gt;$D10,"Up vs prior",IF($C10&lt;$D10,"Down vs prior","Flat")))</f>
        <v/>
      </c>
      <c r="H10" s="13">
        <f>IF(OR($C10="",$E10=""),"",IF($C10&gt;=$E10,"ON TARGET",IF($C10&gt;=$E10*0.85,"WATCH","OFF TARGET")))</f>
        <v/>
      </c>
      <c r="I10" s="17" t="n"/>
      <c r="J10" s="17" t="n"/>
      <c r="K10" s="17" t="n"/>
    </row>
    <row r="11">
      <c r="A11" s="20" t="inlineStr">
        <is>
          <t>Interview scheduling accuracy (%)</t>
        </is>
      </c>
      <c r="B11" s="20" t="inlineStr">
        <is>
          <t>Held as first scheduled / total</t>
        </is>
      </c>
      <c r="C11" s="18" t="n"/>
      <c r="D11" s="18" t="n"/>
      <c r="E11" s="11" t="n">
        <v>90</v>
      </c>
      <c r="F11" s="13">
        <f>IF(OR($C11="",$E11=""),"",$C11-$E11)</f>
        <v/>
      </c>
      <c r="G11" s="13">
        <f>IF(OR($C11="",$D11=""),"",IF($C11&gt;$D11,"Up vs prior",IF($C11&lt;$D11,"Down vs prior","Flat")))</f>
        <v/>
      </c>
      <c r="H11" s="13">
        <f>IF(OR($C11="",$E11=""),"",IF($C11&gt;=$E11,"ON TARGET",IF($C11&gt;=$E11*0.85,"WATCH","OFF TARGET")))</f>
        <v/>
      </c>
      <c r="I11" s="17" t="n"/>
      <c r="J11" s="17" t="n"/>
      <c r="K11" s="17" t="n"/>
    </row>
    <row r="12">
      <c r="A12" s="20" t="inlineStr">
        <is>
          <t>Candidate satisfaction (NPS)</t>
        </is>
      </c>
      <c r="B12" s="20" t="inlineStr">
        <is>
          <t>Post-process survey, all outcomes</t>
        </is>
      </c>
      <c r="C12" s="18" t="n"/>
      <c r="D12" s="18" t="n"/>
      <c r="E12" s="11" t="n">
        <v>40</v>
      </c>
      <c r="F12" s="13">
        <f>IF(OR($C12="",$E12=""),"",$C12-$E12)</f>
        <v/>
      </c>
      <c r="G12" s="13">
        <f>IF(OR($C12="",$D12=""),"",IF($C12&gt;$D12,"Up vs prior",IF($C12&lt;$D12,"Down vs prior","Flat")))</f>
        <v/>
      </c>
      <c r="H12" s="13">
        <f>IF(OR($C12="",$E12=""),"",IF($C12&gt;=$E12,"ON TARGET",IF($C12&gt;=$E12*0.85,"WATCH","OFF TARGET")))</f>
        <v/>
      </c>
      <c r="I12" s="17" t="n"/>
      <c r="J12" s="17" t="n"/>
      <c r="K12" s="17" t="n"/>
    </row>
    <row r="13">
      <c r="A13" s="20" t="inlineStr">
        <is>
          <t>Interviewer load (per wk)</t>
        </is>
      </c>
      <c r="B13" s="20" t="inlineStr">
        <is>
          <t>Interviews per interviewer per week</t>
        </is>
      </c>
      <c r="C13" s="18" t="n"/>
      <c r="D13" s="18" t="n"/>
      <c r="E13" s="11" t="n">
        <v>4</v>
      </c>
      <c r="F13" s="13">
        <f>IF(OR($C13="",$E13=""),"",$C13-$E13)</f>
        <v/>
      </c>
      <c r="G13" s="13">
        <f>IF(OR($C13="",$D13=""),"",IF($C13&gt;$D13,"Up vs prior",IF($C13&lt;$D13,"Down vs prior","Flat")))</f>
        <v/>
      </c>
      <c r="H13" s="13">
        <f>IF(OR($C13="",$E13=""),"",IF($C13&lt;=$E13,"ON TARGET",IF($C13&lt;=$E13*1.15,"WATCH","OFF TARGET")))</f>
        <v/>
      </c>
      <c r="I13" s="17" t="n"/>
      <c r="J13" s="17" t="n"/>
      <c r="K13" s="17" t="n"/>
    </row>
    <row r="14">
      <c r="A14" s="20" t="inlineStr">
        <is>
          <t>Quality of hire (%)</t>
        </is>
      </c>
      <c r="B14" s="20" t="inlineStr">
        <is>
          <t>90-day retention x manager rating threshold</t>
        </is>
      </c>
      <c r="C14" s="18" t="n"/>
      <c r="D14" s="18" t="n"/>
      <c r="E14" s="11" t="n">
        <v>85</v>
      </c>
      <c r="F14" s="13">
        <f>IF(OR($C14="",$E14=""),"",$C14-$E14)</f>
        <v/>
      </c>
      <c r="G14" s="13">
        <f>IF(OR($C14="",$D14=""),"",IF($C14&gt;$D14,"Up vs prior",IF($C14&lt;$D14,"Down vs prior","Flat")))</f>
        <v/>
      </c>
      <c r="H14" s="13">
        <f>IF(OR($C14="",$E14=""),"",IF($C14&gt;=$E14,"ON TARGET",IF($C14&gt;=$E14*0.85,"WATCH","OFF TARGET")))</f>
        <v/>
      </c>
      <c r="I14" s="17" t="n"/>
      <c r="J14" s="17" t="n"/>
      <c r="K14" s="17" t="n"/>
    </row>
    <row r="15">
      <c r="A15" s="20" t="inlineStr">
        <is>
          <t>Early attrition (%)</t>
        </is>
      </c>
      <c r="B15" s="20" t="inlineStr">
        <is>
          <t>Separations within 90 days</t>
        </is>
      </c>
      <c r="C15" s="18" t="n"/>
      <c r="D15" s="18" t="n"/>
      <c r="E15" s="11" t="n">
        <v>8</v>
      </c>
      <c r="F15" s="13">
        <f>IF(OR($C15="",$E15=""),"",$C15-$E15)</f>
        <v/>
      </c>
      <c r="G15" s="13">
        <f>IF(OR($C15="",$D15=""),"",IF($C15&gt;$D15,"Up vs prior",IF($C15&lt;$D15,"Down vs prior","Flat")))</f>
        <v/>
      </c>
      <c r="H15" s="13">
        <f>IF(OR($C15="",$E15=""),"",IF($C15&lt;=$E15,"ON TARGET",IF($C15&lt;=$E15*1.15,"WATCH","OFF TARGET")))</f>
        <v/>
      </c>
      <c r="I15" s="17" t="n"/>
      <c r="J15" s="17" t="n"/>
      <c r="K15" s="17" t="n"/>
    </row>
    <row r="16">
      <c r="A16" s="20" t="inlineStr">
        <is>
          <t>Absence rate (%)</t>
        </is>
      </c>
      <c r="B16" s="20" t="inlineStr">
        <is>
          <t>Absent hours / scheduled hours</t>
        </is>
      </c>
      <c r="C16" s="18" t="n"/>
      <c r="D16" s="18" t="n"/>
      <c r="E16" s="11" t="n">
        <v>4</v>
      </c>
      <c r="F16" s="13">
        <f>IF(OR($C16="",$E16=""),"",$C16-$E16)</f>
        <v/>
      </c>
      <c r="G16" s="13">
        <f>IF(OR($C16="",$D16=""),"",IF($C16&gt;$D16,"Up vs prior",IF($C16&lt;$D16,"Down vs prior","Flat")))</f>
        <v/>
      </c>
      <c r="H16" s="13">
        <f>IF(OR($C16="",$E16=""),"",IF($C16&lt;=$E16,"ON TARGET",IF($C16&lt;=$E16*1.15,"WATCH","OFF TARGET")))</f>
        <v/>
      </c>
      <c r="I16" s="17" t="n"/>
      <c r="J16" s="17" t="n"/>
      <c r="K16" s="17" t="n"/>
    </row>
    <row r="17">
      <c r="A17" s="20" t="inlineStr">
        <is>
          <t>Voluntary turnover (%)</t>
        </is>
      </c>
      <c r="B17" s="20" t="inlineStr">
        <is>
          <t>Annualized voluntary separations</t>
        </is>
      </c>
      <c r="C17" s="18" t="n"/>
      <c r="D17" s="18" t="n"/>
      <c r="E17" s="11" t="n">
        <v>25</v>
      </c>
      <c r="F17" s="13">
        <f>IF(OR($C17="",$E17=""),"",$C17-$E17)</f>
        <v/>
      </c>
      <c r="G17" s="13">
        <f>IF(OR($C17="",$D17=""),"",IF($C17&gt;$D17,"Up vs prior",IF($C17&lt;$D17,"Down vs prior","Flat")))</f>
        <v/>
      </c>
      <c r="H17" s="13">
        <f>IF(OR($C17="",$E17=""),"",IF($C17&lt;=$E17,"ON TARGET",IF($C17&lt;=$E17*1.15,"WATCH","OFF TARGET")))</f>
        <v/>
      </c>
      <c r="I17" s="17" t="n"/>
      <c r="J17" s="17" t="n"/>
      <c r="K17" s="17" t="n"/>
    </row>
    <row r="18">
      <c r="A18" s="20" t="inlineStr">
        <is>
          <t>Vacancy rate (%)</t>
        </is>
      </c>
      <c r="B18" s="20" t="inlineStr">
        <is>
          <t>Open reqs / budgeted headcount</t>
        </is>
      </c>
      <c r="C18" s="18" t="n"/>
      <c r="D18" s="18" t="n"/>
      <c r="E18" s="11" t="n">
        <v>5</v>
      </c>
      <c r="F18" s="13">
        <f>IF(OR($C18="",$E18=""),"",$C18-$E18)</f>
        <v/>
      </c>
      <c r="G18" s="13">
        <f>IF(OR($C18="",$D18=""),"",IF($C18&gt;$D18,"Up vs prior",IF($C18&lt;$D18,"Down vs prior","Flat")))</f>
        <v/>
      </c>
      <c r="H18" s="13">
        <f>IF(OR($C18="",$E18=""),"",IF($C18&lt;=$E18,"ON TARGET",IF($C18&lt;=$E18*1.15,"WATCH","OFF TARGET")))</f>
        <v/>
      </c>
      <c r="I18" s="17" t="n"/>
      <c r="J18" s="17" t="n"/>
      <c r="K18" s="17" t="n"/>
    </row>
    <row r="20">
      <c r="A20" s="2" t="inlineStr">
        <is>
          <t>Targets in column E are placeholders — replace with your own. Note sample size where small; do not draw conclusions from a handful of hires.</t>
        </is>
      </c>
    </row>
  </sheetData>
  <autoFilter ref="A4:K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52" customWidth="1" min="9" max="9"/>
  </cols>
  <sheetData>
    <row r="1">
      <c r="A1" s="6" t="inlineStr">
        <is>
          <t>PHASE 5 — COMPLIANCE &amp; FILING CALENDAR</t>
        </is>
      </c>
    </row>
    <row r="2">
      <c r="A2" s="2" t="inlineStr">
        <is>
          <t>Deadlines, thresholds and form versions change. Verify each item against the current rule before relying on it.</t>
        </is>
      </c>
    </row>
    <row r="4" ht="30" customHeight="1">
      <c r="A4" s="7" t="inlineStr">
        <is>
          <t>Item</t>
        </is>
      </c>
      <c r="B4" s="7" t="inlineStr">
        <is>
          <t>Scope / Jurisdiction</t>
        </is>
      </c>
      <c r="C4" s="7" t="inlineStr">
        <is>
          <t>Frequency</t>
        </is>
      </c>
      <c r="D4" s="7" t="inlineStr">
        <is>
          <t>Next Due</t>
        </is>
      </c>
      <c r="E4" s="7" t="inlineStr">
        <is>
          <t>Days Until</t>
        </is>
      </c>
      <c r="F4" s="7" t="inlineStr">
        <is>
          <t>Flag</t>
        </is>
      </c>
      <c r="G4" s="7" t="inlineStr">
        <is>
          <t>Owner</t>
        </is>
      </c>
      <c r="H4" s="7" t="inlineStr">
        <is>
          <t>Status</t>
        </is>
      </c>
      <c r="I4" s="7" t="inlineStr">
        <is>
          <t>Verification Note</t>
        </is>
      </c>
    </row>
    <row r="5">
      <c r="A5" s="20" t="inlineStr">
        <is>
          <t>Injury &amp; illness log maintained (OSHA 300)</t>
        </is>
      </c>
      <c r="B5" s="20" t="inlineStr">
        <is>
          <t>US establishments</t>
        </is>
      </c>
      <c r="C5" s="20" t="inlineStr">
        <is>
          <t>Ongoing</t>
        </is>
      </c>
      <c r="D5" s="19" t="n"/>
      <c r="E5" s="13">
        <f>IF($D5="","",$D5-TODAY())</f>
        <v/>
      </c>
      <c r="F5" s="13">
        <f>IF($D5="","",IF($H5="Complete","Closed",IF($E5&lt;0,"OVERDUE",IF($E5&lt;=30,"DUE SOON","OK"))))</f>
        <v/>
      </c>
      <c r="G5" s="11" t="n"/>
      <c r="H5" s="11" t="n"/>
      <c r="I5" s="24" t="inlineStr">
        <is>
          <t>Verify recordability criteria and covered-establishment thresholds against current OSHA rules.</t>
        </is>
      </c>
    </row>
    <row r="6">
      <c r="A6" s="20" t="inlineStr">
        <is>
          <t>Annual summary posted (OSHA 300A)</t>
        </is>
      </c>
      <c r="B6" s="20" t="inlineStr">
        <is>
          <t>US establishments</t>
        </is>
      </c>
      <c r="C6" s="20" t="inlineStr">
        <is>
          <t>Annual — posted Feb 1 to Apr 30</t>
        </is>
      </c>
      <c r="D6" s="19" t="n"/>
      <c r="E6" s="13">
        <f>IF($D6="","",$D6-TODAY())</f>
        <v/>
      </c>
      <c r="F6" s="13">
        <f>IF($D6="","",IF($H6="Complete","Closed",IF($E6&lt;0,"OVERDUE",IF($E6&lt;=30,"DUE SOON","OK"))))</f>
        <v/>
      </c>
      <c r="G6" s="11" t="n"/>
      <c r="H6" s="11" t="n"/>
      <c r="I6" s="24" t="inlineStr">
        <is>
          <t>Confirm current posting window and signature requirements.</t>
        </is>
      </c>
    </row>
    <row r="7">
      <c r="A7" s="20" t="inlineStr">
        <is>
          <t>Electronic injury data submission</t>
        </is>
      </c>
      <c r="B7" s="20" t="inlineStr">
        <is>
          <t>Covered US establishments</t>
        </is>
      </c>
      <c r="C7" s="20" t="inlineStr">
        <is>
          <t>Annual</t>
        </is>
      </c>
      <c r="D7" s="19" t="n"/>
      <c r="E7" s="13">
        <f>IF($D7="","",$D7-TODAY())</f>
        <v/>
      </c>
      <c r="F7" s="13">
        <f>IF($D7="","",IF($H7="Complete","Closed",IF($E7&lt;0,"OVERDUE",IF($E7&lt;=30,"DUE SOON","OK"))))</f>
        <v/>
      </c>
      <c r="G7" s="11" t="n"/>
      <c r="H7" s="11" t="n"/>
      <c r="I7" s="24" t="inlineStr">
        <is>
          <t>Confirm covered size/industry thresholds and the current submission deadline.</t>
        </is>
      </c>
    </row>
    <row r="8">
      <c r="A8" s="20" t="inlineStr">
        <is>
          <t>BLS Survey of Occupational Injuries and Illnesses</t>
        </is>
      </c>
      <c r="B8" s="20" t="inlineStr">
        <is>
          <t>If sampled</t>
        </is>
      </c>
      <c r="C8" s="20" t="inlineStr">
        <is>
          <t>As sampled</t>
        </is>
      </c>
      <c r="D8" s="19" t="n"/>
      <c r="E8" s="13">
        <f>IF($D8="","",$D8-TODAY())</f>
        <v/>
      </c>
      <c r="F8" s="13">
        <f>IF($D8="","",IF($H8="Complete","Closed",IF($E8&lt;0,"OVERDUE",IF($E8&lt;=30,"DUE SOON","OK"))))</f>
        <v/>
      </c>
      <c r="G8" s="11" t="n"/>
      <c r="H8" s="11" t="n"/>
      <c r="I8" s="24" t="inlineStr">
        <is>
          <t>Respond by the deadline on the notice, from the maintained log.</t>
        </is>
      </c>
    </row>
    <row r="9">
      <c r="A9" s="20" t="inlineStr">
        <is>
          <t>EEO-1 component filing</t>
        </is>
      </c>
      <c r="B9" s="20" t="inlineStr">
        <is>
          <t>Covered US employers</t>
        </is>
      </c>
      <c r="C9" s="20" t="inlineStr">
        <is>
          <t>Annual</t>
        </is>
      </c>
      <c r="D9" s="19" t="n"/>
      <c r="E9" s="13">
        <f>IF($D9="","",$D9-TODAY())</f>
        <v/>
      </c>
      <c r="F9" s="13">
        <f>IF($D9="","",IF($H9="Complete","Closed",IF($E9&lt;0,"OVERDUE",IF($E9&lt;=30,"DUE SOON","OK"))))</f>
        <v/>
      </c>
      <c r="G9" s="11" t="n"/>
      <c r="H9" s="11" t="n"/>
      <c r="I9" s="24" t="inlineStr">
        <is>
          <t>Confirm the current filing window; it has shifted in recent years.</t>
        </is>
      </c>
    </row>
    <row r="10">
      <c r="A10" s="20" t="inlineStr">
        <is>
          <t>ACA reporting (1094-C / 1095-C)</t>
        </is>
      </c>
      <c r="B10" s="20" t="inlineStr">
        <is>
          <t>Applicable large employers</t>
        </is>
      </c>
      <c r="C10" s="20" t="inlineStr">
        <is>
          <t>Annual</t>
        </is>
      </c>
      <c r="D10" s="19" t="n"/>
      <c r="E10" s="13">
        <f>IF($D10="","",$D10-TODAY())</f>
        <v/>
      </c>
      <c r="F10" s="13">
        <f>IF($D10="","",IF($H10="Complete","Closed",IF($E10&lt;0,"OVERDUE",IF($E10&lt;=30,"DUE SOON","OK"))))</f>
        <v/>
      </c>
      <c r="G10" s="11" t="n"/>
      <c r="H10" s="11" t="n"/>
      <c r="I10" s="24" t="inlineStr">
        <is>
          <t>Coordinate with Benefits/Payroll; confirm furnishing and filing dates.</t>
        </is>
      </c>
    </row>
    <row r="11">
      <c r="A11" s="20" t="inlineStr">
        <is>
          <t>Affirmative action plan obligations</t>
        </is>
      </c>
      <c r="B11" s="20" t="inlineStr">
        <is>
          <t>Covered federal contractors</t>
        </is>
      </c>
      <c r="C11" s="20" t="inlineStr">
        <is>
          <t>Annual</t>
        </is>
      </c>
      <c r="D11" s="19" t="n"/>
      <c r="E11" s="13">
        <f>IF($D11="","",$D11-TODAY())</f>
        <v/>
      </c>
      <c r="F11" s="13">
        <f>IF($D11="","",IF($H11="Complete","Closed",IF($E11&lt;0,"OVERDUE",IF($E11&lt;=30,"DUE SOON","OK"))))</f>
        <v/>
      </c>
      <c r="G11" s="11" t="n"/>
      <c r="H11" s="11" t="n"/>
      <c r="I11" s="24" t="inlineStr">
        <is>
          <t>Confirm coverage before assuming applicability.</t>
        </is>
      </c>
    </row>
    <row r="12">
      <c r="A12" s="20" t="inlineStr">
        <is>
          <t>State pay-data reporting</t>
        </is>
      </c>
      <c r="B12" s="20" t="inlineStr">
        <is>
          <t>State-specific</t>
        </is>
      </c>
      <c r="C12" s="20" t="inlineStr">
        <is>
          <t>Annual</t>
        </is>
      </c>
      <c r="D12" s="19" t="n"/>
      <c r="E12" s="13">
        <f>IF($D12="","",$D12-TODAY())</f>
        <v/>
      </c>
      <c r="F12" s="13">
        <f>IF($D12="","",IF($H12="Complete","Closed",IF($E12&lt;0,"OVERDUE",IF($E12&lt;=30,"DUE SOON","OK"))))</f>
        <v/>
      </c>
      <c r="G12" s="11" t="n"/>
      <c r="H12" s="11" t="n"/>
      <c r="I12" s="24" t="inlineStr">
        <is>
          <t>Requirements vary by state; verify each operating state.</t>
        </is>
      </c>
    </row>
    <row r="13">
      <c r="A13" s="20" t="inlineStr">
        <is>
          <t>Workplace poster currency audit</t>
        </is>
      </c>
      <c r="B13" s="20" t="inlineStr">
        <is>
          <t>All locations</t>
        </is>
      </c>
      <c r="C13" s="20" t="inlineStr">
        <is>
          <t>Semi-annual</t>
        </is>
      </c>
      <c r="D13" s="19" t="n"/>
      <c r="E13" s="13">
        <f>IF($D13="","",$D13-TODAY())</f>
        <v/>
      </c>
      <c r="F13" s="13">
        <f>IF($D13="","",IF($H13="Complete","Closed",IF($E13&lt;0,"OVERDUE",IF($E13&lt;=30,"DUE SOON","OK"))))</f>
        <v/>
      </c>
      <c r="G13" s="11" t="n"/>
      <c r="H13" s="11" t="n"/>
      <c r="I13" s="24" t="inlineStr">
        <is>
          <t>Federal, state and local posters; confirm current versions.</t>
        </is>
      </c>
    </row>
    <row r="14">
      <c r="A14" s="20" t="inlineStr">
        <is>
          <t>Employment-eligibility file retention purge</t>
        </is>
      </c>
      <c r="B14" s="20" t="inlineStr">
        <is>
          <t>All locations</t>
        </is>
      </c>
      <c r="C14" s="20" t="inlineStr">
        <is>
          <t>Annual</t>
        </is>
      </c>
      <c r="D14" s="19" t="n"/>
      <c r="E14" s="13">
        <f>IF($D14="","",$D14-TODAY())</f>
        <v/>
      </c>
      <c r="F14" s="13">
        <f>IF($D14="","",IF($H14="Complete","Closed",IF($E14&lt;0,"OVERDUE",IF($E14&lt;=30,"DUE SOON","OK"))))</f>
        <v/>
      </c>
      <c r="G14" s="11" t="n"/>
      <c r="H14" s="11" t="n"/>
      <c r="I14" s="24" t="inlineStr">
        <is>
          <t>Retention is measured from hire and separation; verify the current formula.</t>
        </is>
      </c>
    </row>
    <row r="15">
      <c r="A15" s="20" t="inlineStr">
        <is>
          <t>Personnel file completeness &amp; segregation audit</t>
        </is>
      </c>
      <c r="B15" s="20" t="inlineStr">
        <is>
          <t>All locations</t>
        </is>
      </c>
      <c r="C15" s="20" t="inlineStr">
        <is>
          <t>Quarterly</t>
        </is>
      </c>
      <c r="D15" s="19" t="n"/>
      <c r="E15" s="13">
        <f>IF($D15="","",$D15-TODAY())</f>
        <v/>
      </c>
      <c r="F15" s="13">
        <f>IF($D15="","",IF($H15="Complete","Closed",IF($E15&lt;0,"OVERDUE",IF($E15&lt;=30,"DUE SOON","OK"))))</f>
        <v/>
      </c>
      <c r="G15" s="11" t="n"/>
      <c r="H15" s="11" t="n"/>
      <c r="I15" s="24" t="inlineStr">
        <is>
          <t>Confirm personnel / medical-ADA-leave / eligibility files remain separate.</t>
        </is>
      </c>
    </row>
    <row r="16">
      <c r="A16" s="20" t="inlineStr">
        <is>
          <t>Background-check disclosure &amp; authorization audit</t>
        </is>
      </c>
      <c r="B16" s="20" t="inlineStr">
        <is>
          <t>All locations</t>
        </is>
      </c>
      <c r="C16" s="20" t="inlineStr">
        <is>
          <t>Annual</t>
        </is>
      </c>
      <c r="D16" s="19" t="n"/>
      <c r="E16" s="13">
        <f>IF($D16="","",$D16-TODAY())</f>
        <v/>
      </c>
      <c r="F16" s="13">
        <f>IF($D16="","",IF($H16="Complete","Closed",IF($E16&lt;0,"OVERDUE",IF($E16&lt;=30,"DUE SOON","OK"))))</f>
        <v/>
      </c>
      <c r="G16" s="11" t="n"/>
      <c r="H16" s="11" t="n"/>
      <c r="I16" s="24" t="inlineStr">
        <is>
          <t>Standalone disclosure; confirm ban-the-box and fair-chance rules per jurisdiction.</t>
        </is>
      </c>
    </row>
    <row r="17">
      <c r="A17" s="20" t="inlineStr">
        <is>
          <t>Predictive scheduling compliance review</t>
        </is>
      </c>
      <c r="B17" s="20" t="inlineStr">
        <is>
          <t>Applicable localities</t>
        </is>
      </c>
      <c r="C17" s="20" t="inlineStr">
        <is>
          <t>Quarterly</t>
        </is>
      </c>
      <c r="D17" s="19" t="n"/>
      <c r="E17" s="13">
        <f>IF($D17="","",$D17-TODAY())</f>
        <v/>
      </c>
      <c r="F17" s="13">
        <f>IF($D17="","",IF($H17="Complete","Closed",IF($E17&lt;0,"OVERDUE",IF($E17&lt;=30,"DUE SOON","OK"))))</f>
        <v/>
      </c>
      <c r="G17" s="11" t="n"/>
      <c r="H17" s="11" t="n"/>
      <c r="I17" s="24" t="inlineStr">
        <is>
          <t>Advance-notice and penalty-pay rules vary by city/state.</t>
        </is>
      </c>
    </row>
    <row r="18">
      <c r="A18" s="20" t="inlineStr">
        <is>
          <t>Minor work permits and hours restrictions</t>
        </is>
      </c>
      <c r="B18" s="20" t="inlineStr">
        <is>
          <t>Locations employing minors</t>
        </is>
      </c>
      <c r="C18" s="20" t="inlineStr">
        <is>
          <t>Ongoing</t>
        </is>
      </c>
      <c r="D18" s="19" t="n"/>
      <c r="E18" s="13">
        <f>IF($D18="","",$D18-TODAY())</f>
        <v/>
      </c>
      <c r="F18" s="13">
        <f>IF($D18="","",IF($H18="Complete","Closed",IF($E18&lt;0,"OVERDUE",IF($E18&lt;=30,"DUE SOON","OK"))))</f>
        <v/>
      </c>
      <c r="G18" s="11" t="n"/>
      <c r="H18" s="11" t="n"/>
      <c r="I18" s="24" t="inlineStr">
        <is>
          <t>Hour and task restrictions vary by state and by school session.</t>
        </is>
      </c>
    </row>
  </sheetData>
  <autoFilter ref="A4:I4"/>
  <dataValidations count="1">
    <dataValidation sqref="H5:H19" showDropDown="0" showInputMessage="0" showErrorMessage="0" allowBlank="1" type="list">
      <formula1>"Not started,In progress,Complete,Not applicable"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9" customWidth="1" min="4" max="4"/>
    <col width="13" customWidth="1" min="5" max="5"/>
    <col width="15" customWidth="1" min="6" max="6"/>
    <col width="19" customWidth="1" min="7" max="7"/>
    <col width="19" customWidth="1" min="8" max="8"/>
    <col width="24" customWidth="1" min="9" max="9"/>
    <col width="16" customWidth="1" min="10" max="10"/>
  </cols>
  <sheetData>
    <row r="1">
      <c r="A1" s="25" t="inlineStr">
        <is>
          <t>RESTRICTED — LIMITED ACCESS</t>
        </is>
      </c>
    </row>
    <row r="2" ht="28" customHeight="1">
      <c r="A2" s="26" t="inlineStr">
        <is>
          <t>Compensation and background-check status. Do not merge these fields into Reqs, Candidates or Offers, and do not share this tab in a group thread or an open folder.</t>
        </is>
      </c>
    </row>
    <row r="4" ht="30" customHeight="1">
      <c r="A4" s="7" t="inlineStr">
        <is>
          <t>Cand ID</t>
        </is>
      </c>
      <c r="B4" s="7" t="inlineStr">
        <is>
          <t>Req ID</t>
        </is>
      </c>
      <c r="C4" s="7" t="inlineStr">
        <is>
          <t>Approved Range Min</t>
        </is>
      </c>
      <c r="D4" s="7" t="inlineStr">
        <is>
          <t>Approved Range Max</t>
        </is>
      </c>
      <c r="E4" s="7" t="inlineStr">
        <is>
          <t>Offer Base</t>
        </is>
      </c>
      <c r="F4" s="7" t="inlineStr">
        <is>
          <t>Within Range?</t>
        </is>
      </c>
      <c r="G4" s="7" t="inlineStr">
        <is>
          <t>Sign-on / Premium</t>
        </is>
      </c>
      <c r="H4" s="7" t="inlineStr">
        <is>
          <t>Background Status</t>
        </is>
      </c>
      <c r="I4" s="7" t="inlineStr">
        <is>
          <t>Adverse Action Stage</t>
        </is>
      </c>
      <c r="J4" s="7" t="inlineStr">
        <is>
          <t>Approver</t>
        </is>
      </c>
    </row>
    <row r="5">
      <c r="A5" s="8" t="inlineStr">
        <is>
          <t>C-2207</t>
        </is>
      </c>
      <c r="B5" s="8" t="inlineStr">
        <is>
          <t>REQ-1041</t>
        </is>
      </c>
      <c r="C5" s="27" t="n">
        <v>58000</v>
      </c>
      <c r="D5" s="27" t="n">
        <v>66000</v>
      </c>
      <c r="E5" s="27" t="n">
        <v>62000</v>
      </c>
      <c r="F5" s="10">
        <f>IF(OR($E5="",$C5="",$D5=""),"",IF(AND($E5&gt;=$C5,$E5&lt;=$D5),"In range","OUT OF RANGE - approval required"))</f>
        <v/>
      </c>
      <c r="G5" s="8" t="inlineStr">
        <is>
          <t>None</t>
        </is>
      </c>
      <c r="H5" s="8" t="inlineStr">
        <is>
          <t>Pending</t>
        </is>
      </c>
      <c r="I5" s="8" t="inlineStr">
        <is>
          <t>N/A</t>
        </is>
      </c>
      <c r="J5" s="8" t="inlineStr">
        <is>
          <t>A. Reyes</t>
        </is>
      </c>
    </row>
    <row r="6">
      <c r="A6" s="11" t="n"/>
      <c r="B6" s="11" t="n"/>
      <c r="C6" s="28" t="n"/>
      <c r="D6" s="28" t="n"/>
      <c r="E6" s="28" t="n"/>
      <c r="F6" s="13">
        <f>IF(OR($E6="",$C6="",$D6=""),"",IF(AND($E6&gt;=$C6,$E6&lt;=$D6),"In range","OUT OF RANGE - approval required"))</f>
        <v/>
      </c>
      <c r="G6" s="11" t="n"/>
      <c r="H6" s="11" t="n"/>
      <c r="I6" s="11" t="n"/>
      <c r="J6" s="11" t="n"/>
    </row>
    <row r="7">
      <c r="A7" s="11" t="n"/>
      <c r="B7" s="11" t="n"/>
      <c r="C7" s="28" t="n"/>
      <c r="D7" s="28" t="n"/>
      <c r="E7" s="28" t="n"/>
      <c r="F7" s="13">
        <f>IF(OR($E7="",$C7="",$D7=""),"",IF(AND($E7&gt;=$C7,$E7&lt;=$D7),"In range","OUT OF RANGE - approval required"))</f>
        <v/>
      </c>
      <c r="G7" s="11" t="n"/>
      <c r="H7" s="11" t="n"/>
      <c r="I7" s="11" t="n"/>
      <c r="J7" s="11" t="n"/>
    </row>
    <row r="8">
      <c r="A8" s="11" t="n"/>
      <c r="B8" s="11" t="n"/>
      <c r="C8" s="28" t="n"/>
      <c r="D8" s="28" t="n"/>
      <c r="E8" s="28" t="n"/>
      <c r="F8" s="13">
        <f>IF(OR($E8="",$C8="",$D8=""),"",IF(AND($E8&gt;=$C8,$E8&lt;=$D8),"In range","OUT OF RANGE - approval required"))</f>
        <v/>
      </c>
      <c r="G8" s="11" t="n"/>
      <c r="H8" s="11" t="n"/>
      <c r="I8" s="11" t="n"/>
      <c r="J8" s="11" t="n"/>
    </row>
    <row r="9">
      <c r="A9" s="11" t="n"/>
      <c r="B9" s="11" t="n"/>
      <c r="C9" s="28" t="n"/>
      <c r="D9" s="28" t="n"/>
      <c r="E9" s="28" t="n"/>
      <c r="F9" s="13">
        <f>IF(OR($E9="",$C9="",$D9=""),"",IF(AND($E9&gt;=$C9,$E9&lt;=$D9),"In range","OUT OF RANGE - approval required"))</f>
        <v/>
      </c>
      <c r="G9" s="11" t="n"/>
      <c r="H9" s="11" t="n"/>
      <c r="I9" s="11" t="n"/>
      <c r="J9" s="11" t="n"/>
    </row>
    <row r="10">
      <c r="A10" s="11" t="n"/>
      <c r="B10" s="11" t="n"/>
      <c r="C10" s="28" t="n"/>
      <c r="D10" s="28" t="n"/>
      <c r="E10" s="28" t="n"/>
      <c r="F10" s="13">
        <f>IF(OR($E10="",$C10="",$D10=""),"",IF(AND($E10&gt;=$C10,$E10&lt;=$D10),"In range","OUT OF RANGE - approval required"))</f>
        <v/>
      </c>
      <c r="G10" s="11" t="n"/>
      <c r="H10" s="11" t="n"/>
      <c r="I10" s="11" t="n"/>
      <c r="J10" s="11" t="n"/>
    </row>
    <row r="11">
      <c r="A11" s="11" t="n"/>
      <c r="B11" s="11" t="n"/>
      <c r="C11" s="28" t="n"/>
      <c r="D11" s="28" t="n"/>
      <c r="E11" s="28" t="n"/>
      <c r="F11" s="13">
        <f>IF(OR($E11="",$C11="",$D11=""),"",IF(AND($E11&gt;=$C11,$E11&lt;=$D11),"In range","OUT OF RANGE - approval required"))</f>
        <v/>
      </c>
      <c r="G11" s="11" t="n"/>
      <c r="H11" s="11" t="n"/>
      <c r="I11" s="11" t="n"/>
      <c r="J11" s="11" t="n"/>
    </row>
    <row r="12">
      <c r="A12" s="11" t="n"/>
      <c r="B12" s="11" t="n"/>
      <c r="C12" s="28" t="n"/>
      <c r="D12" s="28" t="n"/>
      <c r="E12" s="28" t="n"/>
      <c r="F12" s="13">
        <f>IF(OR($E12="",$C12="",$D12=""),"",IF(AND($E12&gt;=$C12,$E12&lt;=$D12),"In range","OUT OF RANGE - approval required"))</f>
        <v/>
      </c>
      <c r="G12" s="11" t="n"/>
      <c r="H12" s="11" t="n"/>
      <c r="I12" s="11" t="n"/>
      <c r="J12" s="11" t="n"/>
    </row>
    <row r="13">
      <c r="A13" s="11" t="n"/>
      <c r="B13" s="11" t="n"/>
      <c r="C13" s="28" t="n"/>
      <c r="D13" s="28" t="n"/>
      <c r="E13" s="28" t="n"/>
      <c r="F13" s="13">
        <f>IF(OR($E13="",$C13="",$D13=""),"",IF(AND($E13&gt;=$C13,$E13&lt;=$D13),"In range","OUT OF RANGE - approval required"))</f>
        <v/>
      </c>
      <c r="G13" s="11" t="n"/>
      <c r="H13" s="11" t="n"/>
      <c r="I13" s="11" t="n"/>
      <c r="J13" s="11" t="n"/>
    </row>
    <row r="14">
      <c r="A14" s="11" t="n"/>
      <c r="B14" s="11" t="n"/>
      <c r="C14" s="28" t="n"/>
      <c r="D14" s="28" t="n"/>
      <c r="E14" s="28" t="n"/>
      <c r="F14" s="13">
        <f>IF(OR($E14="",$C14="",$D14=""),"",IF(AND($E14&gt;=$C14,$E14&lt;=$D14),"In range","OUT OF RANGE - approval required"))</f>
        <v/>
      </c>
      <c r="G14" s="11" t="n"/>
      <c r="H14" s="11" t="n"/>
      <c r="I14" s="11" t="n"/>
      <c r="J14" s="11" t="n"/>
    </row>
    <row r="15">
      <c r="A15" s="11" t="n"/>
      <c r="B15" s="11" t="n"/>
      <c r="C15" s="28" t="n"/>
      <c r="D15" s="28" t="n"/>
      <c r="E15" s="28" t="n"/>
      <c r="F15" s="13">
        <f>IF(OR($E15="",$C15="",$D15=""),"",IF(AND($E15&gt;=$C15,$E15&lt;=$D15),"In range","OUT OF RANGE - approval required"))</f>
        <v/>
      </c>
      <c r="G15" s="11" t="n"/>
      <c r="H15" s="11" t="n"/>
      <c r="I15" s="11" t="n"/>
      <c r="J15" s="11" t="n"/>
    </row>
    <row r="16">
      <c r="A16" s="11" t="n"/>
      <c r="B16" s="11" t="n"/>
      <c r="C16" s="28" t="n"/>
      <c r="D16" s="28" t="n"/>
      <c r="E16" s="28" t="n"/>
      <c r="F16" s="13">
        <f>IF(OR($E16="",$C16="",$D16=""),"",IF(AND($E16&gt;=$C16,$E16&lt;=$D16),"In range","OUT OF RANGE - approval required"))</f>
        <v/>
      </c>
      <c r="G16" s="11" t="n"/>
      <c r="H16" s="11" t="n"/>
      <c r="I16" s="11" t="n"/>
      <c r="J16" s="11" t="n"/>
    </row>
    <row r="17">
      <c r="A17" s="11" t="n"/>
      <c r="B17" s="11" t="n"/>
      <c r="C17" s="28" t="n"/>
      <c r="D17" s="28" t="n"/>
      <c r="E17" s="28" t="n"/>
      <c r="F17" s="13">
        <f>IF(OR($E17="",$C17="",$D17=""),"",IF(AND($E17&gt;=$C17,$E17&lt;=$D17),"In range","OUT OF RANGE - approval required"))</f>
        <v/>
      </c>
      <c r="G17" s="11" t="n"/>
      <c r="H17" s="11" t="n"/>
      <c r="I17" s="11" t="n"/>
      <c r="J17" s="11" t="n"/>
    </row>
    <row r="18">
      <c r="A18" s="11" t="n"/>
      <c r="B18" s="11" t="n"/>
      <c r="C18" s="28" t="n"/>
      <c r="D18" s="28" t="n"/>
      <c r="E18" s="28" t="n"/>
      <c r="F18" s="13">
        <f>IF(OR($E18="",$C18="",$D18=""),"",IF(AND($E18&gt;=$C18,$E18&lt;=$D18),"In range","OUT OF RANGE - approval required"))</f>
        <v/>
      </c>
      <c r="G18" s="11" t="n"/>
      <c r="H18" s="11" t="n"/>
      <c r="I18" s="11" t="n"/>
      <c r="J18" s="11" t="n"/>
    </row>
    <row r="19">
      <c r="A19" s="11" t="n"/>
      <c r="B19" s="11" t="n"/>
      <c r="C19" s="28" t="n"/>
      <c r="D19" s="28" t="n"/>
      <c r="E19" s="28" t="n"/>
      <c r="F19" s="13">
        <f>IF(OR($E19="",$C19="",$D19=""),"",IF(AND($E19&gt;=$C19,$E19&lt;=$D19),"In range","OUT OF RANGE - approval required"))</f>
        <v/>
      </c>
      <c r="G19" s="11" t="n"/>
      <c r="H19" s="11" t="n"/>
      <c r="I19" s="11" t="n"/>
      <c r="J19" s="11" t="n"/>
    </row>
    <row r="20">
      <c r="A20" s="11" t="n"/>
      <c r="B20" s="11" t="n"/>
      <c r="C20" s="28" t="n"/>
      <c r="D20" s="28" t="n"/>
      <c r="E20" s="28" t="n"/>
      <c r="F20" s="13">
        <f>IF(OR($E20="",$C20="",$D20=""),"",IF(AND($E20&gt;=$C20,$E20&lt;=$D20),"In range","OUT OF RANGE - approval required"))</f>
        <v/>
      </c>
      <c r="G20" s="11" t="n"/>
      <c r="H20" s="11" t="n"/>
      <c r="I20" s="11" t="n"/>
      <c r="J20" s="11" t="n"/>
    </row>
    <row r="21">
      <c r="A21" s="11" t="n"/>
      <c r="B21" s="11" t="n"/>
      <c r="C21" s="28" t="n"/>
      <c r="D21" s="28" t="n"/>
      <c r="E21" s="28" t="n"/>
      <c r="F21" s="13">
        <f>IF(OR($E21="",$C21="",$D21=""),"",IF(AND($E21&gt;=$C21,$E21&lt;=$D21),"In range","OUT OF RANGE - approval required"))</f>
        <v/>
      </c>
      <c r="G21" s="11" t="n"/>
      <c r="H21" s="11" t="n"/>
      <c r="I21" s="11" t="n"/>
      <c r="J21" s="11" t="n"/>
    </row>
    <row r="22">
      <c r="A22" s="11" t="n"/>
      <c r="B22" s="11" t="n"/>
      <c r="C22" s="28" t="n"/>
      <c r="D22" s="28" t="n"/>
      <c r="E22" s="28" t="n"/>
      <c r="F22" s="13">
        <f>IF(OR($E22="",$C22="",$D22=""),"",IF(AND($E22&gt;=$C22,$E22&lt;=$D22),"In range","OUT OF RANGE - approval required"))</f>
        <v/>
      </c>
      <c r="G22" s="11" t="n"/>
      <c r="H22" s="11" t="n"/>
      <c r="I22" s="11" t="n"/>
      <c r="J22" s="11" t="n"/>
    </row>
    <row r="23">
      <c r="A23" s="11" t="n"/>
      <c r="B23" s="11" t="n"/>
      <c r="C23" s="28" t="n"/>
      <c r="D23" s="28" t="n"/>
      <c r="E23" s="28" t="n"/>
      <c r="F23" s="13">
        <f>IF(OR($E23="",$C23="",$D23=""),"",IF(AND($E23&gt;=$C23,$E23&lt;=$D23),"In range","OUT OF RANGE - approval required"))</f>
        <v/>
      </c>
      <c r="G23" s="11" t="n"/>
      <c r="H23" s="11" t="n"/>
      <c r="I23" s="11" t="n"/>
      <c r="J23" s="11" t="n"/>
    </row>
    <row r="24">
      <c r="A24" s="11" t="n"/>
      <c r="B24" s="11" t="n"/>
      <c r="C24" s="28" t="n"/>
      <c r="D24" s="28" t="n"/>
      <c r="E24" s="28" t="n"/>
      <c r="F24" s="13">
        <f>IF(OR($E24="",$C24="",$D24=""),"",IF(AND($E24&gt;=$C24,$E24&lt;=$D24),"In range","OUT OF RANGE - approval required"))</f>
        <v/>
      </c>
      <c r="G24" s="11" t="n"/>
      <c r="H24" s="11" t="n"/>
      <c r="I24" s="11" t="n"/>
      <c r="J24" s="11" t="n"/>
    </row>
    <row r="25">
      <c r="A25" s="11" t="n"/>
      <c r="B25" s="11" t="n"/>
      <c r="C25" s="28" t="n"/>
      <c r="D25" s="28" t="n"/>
      <c r="E25" s="28" t="n"/>
      <c r="F25" s="13">
        <f>IF(OR($E25="",$C25="",$D25=""),"",IF(AND($E25&gt;=$C25,$E25&lt;=$D25),"In range","OUT OF RANGE - approval required"))</f>
        <v/>
      </c>
      <c r="G25" s="11" t="n"/>
      <c r="H25" s="11" t="n"/>
      <c r="I25" s="11" t="n"/>
      <c r="J25" s="11" t="n"/>
    </row>
    <row r="26">
      <c r="A26" s="11" t="n"/>
      <c r="B26" s="11" t="n"/>
      <c r="C26" s="28" t="n"/>
      <c r="D26" s="28" t="n"/>
      <c r="E26" s="28" t="n"/>
      <c r="F26" s="13">
        <f>IF(OR($E26="",$C26="",$D26=""),"",IF(AND($E26&gt;=$C26,$E26&lt;=$D26),"In range","OUT OF RANGE - approval required"))</f>
        <v/>
      </c>
      <c r="G26" s="11" t="n"/>
      <c r="H26" s="11" t="n"/>
      <c r="I26" s="11" t="n"/>
      <c r="J26" s="11" t="n"/>
    </row>
    <row r="27">
      <c r="A27" s="11" t="n"/>
      <c r="B27" s="11" t="n"/>
      <c r="C27" s="28" t="n"/>
      <c r="D27" s="28" t="n"/>
      <c r="E27" s="28" t="n"/>
      <c r="F27" s="13">
        <f>IF(OR($E27="",$C27="",$D27=""),"",IF(AND($E27&gt;=$C27,$E27&lt;=$D27),"In range","OUT OF RANGE - approval required"))</f>
        <v/>
      </c>
      <c r="G27" s="11" t="n"/>
      <c r="H27" s="11" t="n"/>
      <c r="I27" s="11" t="n"/>
      <c r="J27" s="11" t="n"/>
    </row>
    <row r="28">
      <c r="A28" s="11" t="n"/>
      <c r="B28" s="11" t="n"/>
      <c r="C28" s="28" t="n"/>
      <c r="D28" s="28" t="n"/>
      <c r="E28" s="28" t="n"/>
      <c r="F28" s="13">
        <f>IF(OR($E28="",$C28="",$D28=""),"",IF(AND($E28&gt;=$C28,$E28&lt;=$D28),"In range","OUT OF RANGE - approval required"))</f>
        <v/>
      </c>
      <c r="G28" s="11" t="n"/>
      <c r="H28" s="11" t="n"/>
      <c r="I28" s="11" t="n"/>
      <c r="J28" s="11" t="n"/>
    </row>
    <row r="29">
      <c r="A29" s="11" t="n"/>
      <c r="B29" s="11" t="n"/>
      <c r="C29" s="28" t="n"/>
      <c r="D29" s="28" t="n"/>
      <c r="E29" s="28" t="n"/>
      <c r="F29" s="13">
        <f>IF(OR($E29="",$C29="",$D29=""),"",IF(AND($E29&gt;=$C29,$E29&lt;=$D29),"In range","OUT OF RANGE - approval required"))</f>
        <v/>
      </c>
      <c r="G29" s="11" t="n"/>
      <c r="H29" s="11" t="n"/>
      <c r="I29" s="11" t="n"/>
      <c r="J29" s="11" t="n"/>
    </row>
    <row r="30">
      <c r="A30" s="11" t="n"/>
      <c r="B30" s="11" t="n"/>
      <c r="C30" s="28" t="n"/>
      <c r="D30" s="28" t="n"/>
      <c r="E30" s="28" t="n"/>
      <c r="F30" s="13">
        <f>IF(OR($E30="",$C30="",$D30=""),"",IF(AND($E30&gt;=$C30,$E30&lt;=$D30),"In range","OUT OF RANGE - approval required"))</f>
        <v/>
      </c>
      <c r="G30" s="11" t="n"/>
      <c r="H30" s="11" t="n"/>
      <c r="I30" s="11" t="n"/>
      <c r="J30" s="11" t="n"/>
    </row>
    <row r="31">
      <c r="A31" s="11" t="n"/>
      <c r="B31" s="11" t="n"/>
      <c r="C31" s="28" t="n"/>
      <c r="D31" s="28" t="n"/>
      <c r="E31" s="28" t="n"/>
      <c r="F31" s="13">
        <f>IF(OR($E31="",$C31="",$D31=""),"",IF(AND($E31&gt;=$C31,$E31&lt;=$D31),"In range","OUT OF RANGE - approval required"))</f>
        <v/>
      </c>
      <c r="G31" s="11" t="n"/>
      <c r="H31" s="11" t="n"/>
      <c r="I31" s="11" t="n"/>
      <c r="J31" s="11" t="n"/>
    </row>
    <row r="32">
      <c r="A32" s="11" t="n"/>
      <c r="B32" s="11" t="n"/>
      <c r="C32" s="28" t="n"/>
      <c r="D32" s="28" t="n"/>
      <c r="E32" s="28" t="n"/>
      <c r="F32" s="13">
        <f>IF(OR($E32="",$C32="",$D32=""),"",IF(AND($E32&gt;=$C32,$E32&lt;=$D32),"In range","OUT OF RANGE - approval required"))</f>
        <v/>
      </c>
      <c r="G32" s="11" t="n"/>
      <c r="H32" s="11" t="n"/>
      <c r="I32" s="11" t="n"/>
      <c r="J32" s="11" t="n"/>
    </row>
    <row r="33">
      <c r="A33" s="11" t="n"/>
      <c r="B33" s="11" t="n"/>
      <c r="C33" s="28" t="n"/>
      <c r="D33" s="28" t="n"/>
      <c r="E33" s="28" t="n"/>
      <c r="F33" s="13">
        <f>IF(OR($E33="",$C33="",$D33=""),"",IF(AND($E33&gt;=$C33,$E33&lt;=$D33),"In range","OUT OF RANGE - approval required"))</f>
        <v/>
      </c>
      <c r="G33" s="11" t="n"/>
      <c r="H33" s="11" t="n"/>
      <c r="I33" s="11" t="n"/>
      <c r="J33" s="11" t="n"/>
    </row>
    <row r="34">
      <c r="A34" s="11" t="n"/>
      <c r="B34" s="11" t="n"/>
      <c r="C34" s="28" t="n"/>
      <c r="D34" s="28" t="n"/>
      <c r="E34" s="28" t="n"/>
      <c r="F34" s="13">
        <f>IF(OR($E34="",$C34="",$D34=""),"",IF(AND($E34&gt;=$C34,$E34&lt;=$D34),"In range","OUT OF RANGE - approval required"))</f>
        <v/>
      </c>
      <c r="G34" s="11" t="n"/>
      <c r="H34" s="11" t="n"/>
      <c r="I34" s="11" t="n"/>
      <c r="J34" s="11" t="n"/>
    </row>
    <row r="35">
      <c r="A35" s="11" t="n"/>
      <c r="B35" s="11" t="n"/>
      <c r="C35" s="28" t="n"/>
      <c r="D35" s="28" t="n"/>
      <c r="E35" s="28" t="n"/>
      <c r="F35" s="13">
        <f>IF(OR($E35="",$C35="",$D35=""),"",IF(AND($E35&gt;=$C35,$E35&lt;=$D35),"In range","OUT OF RANGE - approval required"))</f>
        <v/>
      </c>
      <c r="G35" s="11" t="n"/>
      <c r="H35" s="11" t="n"/>
      <c r="I35" s="11" t="n"/>
      <c r="J35" s="11" t="n"/>
    </row>
    <row r="36">
      <c r="A36" s="11" t="n"/>
      <c r="B36" s="11" t="n"/>
      <c r="C36" s="28" t="n"/>
      <c r="D36" s="28" t="n"/>
      <c r="E36" s="28" t="n"/>
      <c r="F36" s="13">
        <f>IF(OR($E36="",$C36="",$D36=""),"",IF(AND($E36&gt;=$C36,$E36&lt;=$D36),"In range","OUT OF RANGE - approval required"))</f>
        <v/>
      </c>
      <c r="G36" s="11" t="n"/>
      <c r="H36" s="11" t="n"/>
      <c r="I36" s="11" t="n"/>
      <c r="J36" s="11" t="n"/>
    </row>
    <row r="37">
      <c r="A37" s="11" t="n"/>
      <c r="B37" s="11" t="n"/>
      <c r="C37" s="28" t="n"/>
      <c r="D37" s="28" t="n"/>
      <c r="E37" s="28" t="n"/>
      <c r="F37" s="13">
        <f>IF(OR($E37="",$C37="",$D37=""),"",IF(AND($E37&gt;=$C37,$E37&lt;=$D37),"In range","OUT OF RANGE - approval required"))</f>
        <v/>
      </c>
      <c r="G37" s="11" t="n"/>
      <c r="H37" s="11" t="n"/>
      <c r="I37" s="11" t="n"/>
      <c r="J37" s="11" t="n"/>
    </row>
    <row r="38">
      <c r="A38" s="11" t="n"/>
      <c r="B38" s="11" t="n"/>
      <c r="C38" s="28" t="n"/>
      <c r="D38" s="28" t="n"/>
      <c r="E38" s="28" t="n"/>
      <c r="F38" s="13">
        <f>IF(OR($E38="",$C38="",$D38=""),"",IF(AND($E38&gt;=$C38,$E38&lt;=$D38),"In range","OUT OF RANGE - approval required"))</f>
        <v/>
      </c>
      <c r="G38" s="11" t="n"/>
      <c r="H38" s="11" t="n"/>
      <c r="I38" s="11" t="n"/>
      <c r="J38" s="11" t="n"/>
    </row>
    <row r="39">
      <c r="A39" s="11" t="n"/>
      <c r="B39" s="11" t="n"/>
      <c r="C39" s="28" t="n"/>
      <c r="D39" s="28" t="n"/>
      <c r="E39" s="28" t="n"/>
      <c r="F39" s="13">
        <f>IF(OR($E39="",$C39="",$D39=""),"",IF(AND($E39&gt;=$C39,$E39&lt;=$D39),"In range","OUT OF RANGE - approval required"))</f>
        <v/>
      </c>
      <c r="G39" s="11" t="n"/>
      <c r="H39" s="11" t="n"/>
      <c r="I39" s="11" t="n"/>
      <c r="J39" s="11" t="n"/>
    </row>
    <row r="40">
      <c r="A40" s="11" t="n"/>
      <c r="B40" s="11" t="n"/>
      <c r="C40" s="28" t="n"/>
      <c r="D40" s="28" t="n"/>
      <c r="E40" s="28" t="n"/>
      <c r="F40" s="13">
        <f>IF(OR($E40="",$C40="",$D40=""),"",IF(AND($E40&gt;=$C40,$E40&lt;=$D40),"In range","OUT OF RANGE - approval required"))</f>
        <v/>
      </c>
      <c r="G40" s="11" t="n"/>
      <c r="H40" s="11" t="n"/>
      <c r="I40" s="11" t="n"/>
      <c r="J40" s="11" t="n"/>
    </row>
    <row r="41">
      <c r="A41" s="11" t="n"/>
      <c r="B41" s="11" t="n"/>
      <c r="C41" s="28" t="n"/>
      <c r="D41" s="28" t="n"/>
      <c r="E41" s="28" t="n"/>
      <c r="F41" s="13">
        <f>IF(OR($E41="",$C41="",$D41=""),"",IF(AND($E41&gt;=$C41,$E41&lt;=$D41),"In range","OUT OF RANGE - approval required"))</f>
        <v/>
      </c>
      <c r="G41" s="11" t="n"/>
      <c r="H41" s="11" t="n"/>
      <c r="I41" s="11" t="n"/>
      <c r="J41" s="11" t="n"/>
    </row>
    <row r="42">
      <c r="A42" s="11" t="n"/>
      <c r="B42" s="11" t="n"/>
      <c r="C42" s="28" t="n"/>
      <c r="D42" s="28" t="n"/>
      <c r="E42" s="28" t="n"/>
      <c r="F42" s="13">
        <f>IF(OR($E42="",$C42="",$D42=""),"",IF(AND($E42&gt;=$C42,$E42&lt;=$D42),"In range","OUT OF RANGE - approval required"))</f>
        <v/>
      </c>
      <c r="G42" s="11" t="n"/>
      <c r="H42" s="11" t="n"/>
      <c r="I42" s="11" t="n"/>
      <c r="J42" s="11" t="n"/>
    </row>
    <row r="43">
      <c r="A43" s="11" t="n"/>
      <c r="B43" s="11" t="n"/>
      <c r="C43" s="28" t="n"/>
      <c r="D43" s="28" t="n"/>
      <c r="E43" s="28" t="n"/>
      <c r="F43" s="13">
        <f>IF(OR($E43="",$C43="",$D43=""),"",IF(AND($E43&gt;=$C43,$E43&lt;=$D43),"In range","OUT OF RANGE - approval required"))</f>
        <v/>
      </c>
      <c r="G43" s="11" t="n"/>
      <c r="H43" s="11" t="n"/>
      <c r="I43" s="11" t="n"/>
      <c r="J43" s="11" t="n"/>
    </row>
    <row r="44">
      <c r="A44" s="11" t="n"/>
      <c r="B44" s="11" t="n"/>
      <c r="C44" s="28" t="n"/>
      <c r="D44" s="28" t="n"/>
      <c r="E44" s="28" t="n"/>
      <c r="F44" s="13">
        <f>IF(OR($E44="",$C44="",$D44=""),"",IF(AND($E44&gt;=$C44,$E44&lt;=$D44),"In range","OUT OF RANGE - approval required"))</f>
        <v/>
      </c>
      <c r="G44" s="11" t="n"/>
      <c r="H44" s="11" t="n"/>
      <c r="I44" s="11" t="n"/>
      <c r="J44" s="11" t="n"/>
    </row>
    <row r="46">
      <c r="A46" s="23" t="inlineStr">
        <is>
          <t>Background checks run only after a conditional offer, on standalone written disclosure and authorization. Any adverse finding goes to HRBP / Employment Counsel before any letter is issued.</t>
        </is>
      </c>
    </row>
  </sheetData>
  <mergeCells count="1">
    <mergeCell ref="A2:H2"/>
  </mergeCells>
  <dataValidations count="2">
    <dataValidation sqref="H5:H44" showDropDown="0" showInputMessage="0" showErrorMessage="0" allowBlank="1" type="list">
      <formula1>"Not started,Pending,Cleared,Review required - ESCALATE,N/A"</formula1>
    </dataValidation>
    <dataValidation sqref="I5:I44" showDropDown="0" showInputMessage="0" showErrorMessage="0" allowBlank="1" type="list">
      <formula1>"N/A,Pre-adverse notice sent,Waiting period,Escalated to counsel,Adverse action issued"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2026-08-16T18:10:58Z</dcterms:created>
  <dcterms:modified xmlns:dcterms="http://purl.org/dc/terms/" xmlns:xsi="http://www.w3.org/2001/XMLSchema-instance" xsi:type="dcterms:W3CDTF">2026-08-16T18:10:58Z</dcterms:modified>
</cp:coreProperties>
</file>